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G:\Data Analysis\projects\"/>
    </mc:Choice>
  </mc:AlternateContent>
  <xr:revisionPtr revIDLastSave="0" documentId="13_ncr:1_{AF604476-74D8-4840-86C4-9F8EE14AE05D}" xr6:coauthVersionLast="47" xr6:coauthVersionMax="47" xr10:uidLastSave="{00000000-0000-0000-0000-000000000000}"/>
  <bookViews>
    <workbookView xWindow="0" yWindow="360" windowWidth="29040" windowHeight="15720" tabRatio="497" activeTab="3" xr2:uid="{00000000-000D-0000-FFFF-FFFF00000000}"/>
  </bookViews>
  <sheets>
    <sheet name="البيانات" sheetId="1" r:id="rId1"/>
    <sheet name="cleaning" sheetId="5" r:id="rId2"/>
    <sheet name="paviot table " sheetId="9" r:id="rId3"/>
    <sheet name="Dashbord" sheetId="7" r:id="rId4"/>
  </sheets>
  <definedNames>
    <definedName name="_xlnm._FilterDatabase" localSheetId="1" hidden="1">cleaning!$A$1:$T$127</definedName>
    <definedName name="_xlnm._FilterDatabase" localSheetId="0" hidden="1">البيانات!$A$1:$U$88</definedName>
    <definedName name="Slicer_الحالة">#N/A</definedName>
    <definedName name="Slicer_العنوان">#N/A</definedName>
    <definedName name="Slicer_منصة_البيع">#N/A</definedName>
    <definedName name="Slicer_نوع_المنتج">#N/A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5" l="1"/>
  <c r="N6" i="5"/>
  <c r="N7" i="5"/>
  <c r="N8" i="5"/>
  <c r="N9" i="5"/>
  <c r="N10" i="5"/>
  <c r="N11" i="5"/>
  <c r="N12" i="5"/>
  <c r="N13" i="5"/>
  <c r="N14" i="5"/>
  <c r="N15" i="5"/>
  <c r="N16" i="5"/>
  <c r="N17" i="5"/>
  <c r="N18" i="5"/>
  <c r="N19" i="5"/>
  <c r="N20" i="5"/>
  <c r="N21" i="5"/>
  <c r="N22" i="5"/>
  <c r="N23" i="5"/>
  <c r="N24" i="5"/>
  <c r="N25" i="5"/>
  <c r="N26" i="5"/>
  <c r="N27" i="5"/>
  <c r="N28" i="5"/>
  <c r="N29" i="5"/>
  <c r="N30" i="5"/>
  <c r="N31" i="5"/>
  <c r="N32" i="5"/>
  <c r="N34"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G2" i="5"/>
  <c r="H2" i="5"/>
  <c r="I2" i="5"/>
  <c r="G8" i="5"/>
  <c r="H8" i="5"/>
  <c r="I8" i="5"/>
  <c r="J8" i="5"/>
  <c r="J6" i="5" s="1"/>
  <c r="J4" i="5" s="1"/>
  <c r="J2" i="5" s="1"/>
  <c r="G11" i="5"/>
  <c r="G9" i="5" s="1"/>
  <c r="G7" i="5" s="1"/>
  <c r="G5" i="5" s="1"/>
  <c r="G3" i="5" s="1"/>
  <c r="H11" i="5"/>
  <c r="H9" i="5" s="1"/>
  <c r="H7" i="5" s="1"/>
  <c r="H5" i="5" s="1"/>
  <c r="H3" i="5" s="1"/>
  <c r="I11" i="5"/>
  <c r="I9" i="5" s="1"/>
  <c r="I7" i="5" s="1"/>
  <c r="I5" i="5" s="1"/>
  <c r="I3" i="5" s="1"/>
  <c r="J11" i="5"/>
  <c r="J9" i="5" s="1"/>
  <c r="J7" i="5" s="1"/>
  <c r="J5" i="5" s="1"/>
  <c r="J3" i="5" s="1"/>
  <c r="J15" i="5"/>
  <c r="G16" i="5"/>
  <c r="H16" i="5"/>
  <c r="I16" i="5"/>
  <c r="J16" i="5"/>
  <c r="J14" i="5" s="1"/>
  <c r="G21" i="5"/>
  <c r="H21" i="5"/>
  <c r="I21" i="5"/>
  <c r="G25" i="5"/>
  <c r="H25" i="5"/>
  <c r="I25" i="5"/>
  <c r="J31" i="5"/>
  <c r="J29" i="5" s="1"/>
  <c r="J27" i="5" s="1"/>
  <c r="J25" i="5" s="1"/>
  <c r="J23" i="5" s="1"/>
  <c r="J21" i="5" s="1"/>
  <c r="J19" i="5" s="1"/>
  <c r="G35" i="5"/>
  <c r="G33" i="5" s="1"/>
  <c r="H35" i="5"/>
  <c r="H33" i="5" s="1"/>
  <c r="G36" i="5"/>
  <c r="G34" i="5" s="1"/>
  <c r="H36" i="5"/>
  <c r="H34" i="5" s="1"/>
  <c r="I36" i="5"/>
  <c r="I34" i="5" s="1"/>
  <c r="J37" i="5"/>
  <c r="J46" i="5"/>
  <c r="J44" i="5" s="1"/>
  <c r="J42" i="5" s="1"/>
  <c r="J40" i="5" s="1"/>
  <c r="J38" i="5" s="1"/>
  <c r="J36" i="5" s="1"/>
  <c r="J34" i="5" s="1"/>
  <c r="J32" i="5" s="1"/>
  <c r="J30" i="5" s="1"/>
  <c r="J28" i="5" s="1"/>
  <c r="J26" i="5" s="1"/>
  <c r="J24" i="5" s="1"/>
  <c r="J22" i="5" s="1"/>
  <c r="J20" i="5" s="1"/>
  <c r="G48" i="5"/>
  <c r="H48" i="5"/>
  <c r="I51" i="5"/>
  <c r="J51" i="5"/>
  <c r="J49" i="5" s="1"/>
  <c r="J47" i="5" s="1"/>
  <c r="J45" i="5" s="1"/>
  <c r="J43" i="5" s="1"/>
  <c r="G52" i="5"/>
  <c r="H52" i="5"/>
  <c r="I52" i="5"/>
  <c r="G55" i="5"/>
  <c r="G53" i="5" s="1"/>
  <c r="G51" i="5" s="1"/>
  <c r="H55" i="5"/>
  <c r="H53" i="5" s="1"/>
  <c r="H51" i="5" s="1"/>
  <c r="I55" i="5"/>
  <c r="I60" i="5"/>
  <c r="J60" i="5"/>
  <c r="J58" i="5" s="1"/>
  <c r="J56" i="5" s="1"/>
  <c r="J54" i="5" s="1"/>
  <c r="J52" i="5" s="1"/>
  <c r="J50" i="5" s="1"/>
  <c r="G64" i="5"/>
  <c r="G62" i="5" s="1"/>
  <c r="G60" i="5" s="1"/>
  <c r="H64" i="5"/>
  <c r="H62" i="5" s="1"/>
  <c r="H60" i="5" s="1"/>
  <c r="J66" i="5"/>
  <c r="G68" i="5"/>
  <c r="H68" i="5"/>
  <c r="G69" i="5"/>
  <c r="H69" i="5"/>
  <c r="I69" i="5"/>
  <c r="J69" i="5"/>
  <c r="J67" i="5" s="1"/>
  <c r="J65" i="5" s="1"/>
  <c r="J63" i="5" s="1"/>
  <c r="J61" i="5" s="1"/>
  <c r="J59" i="5" s="1"/>
  <c r="J57" i="5" s="1"/>
  <c r="J55" i="5" s="1"/>
  <c r="K69" i="5"/>
  <c r="K67" i="5" s="1"/>
  <c r="J70" i="5"/>
  <c r="K70" i="5"/>
  <c r="K68" i="5" s="1"/>
  <c r="K66" i="5" s="1"/>
  <c r="J73" i="5"/>
  <c r="G74" i="5"/>
  <c r="H74" i="5"/>
  <c r="I74" i="5"/>
  <c r="G75" i="5"/>
  <c r="H75" i="5"/>
  <c r="I75" i="5"/>
  <c r="J77" i="5"/>
  <c r="K77" i="5"/>
  <c r="K75" i="5" s="1"/>
  <c r="K73" i="5" s="1"/>
  <c r="J78" i="5"/>
  <c r="J76" i="5" s="1"/>
  <c r="J74" i="5" s="1"/>
  <c r="G85" i="5"/>
  <c r="G83" i="5" s="1"/>
  <c r="G81" i="5" s="1"/>
  <c r="H85" i="5"/>
  <c r="H83" i="5" s="1"/>
  <c r="H81" i="5" s="1"/>
  <c r="G86" i="5"/>
  <c r="G84" i="5" s="1"/>
  <c r="G82" i="5" s="1"/>
  <c r="G80" i="5" s="1"/>
  <c r="H86" i="5"/>
  <c r="H84" i="5" s="1"/>
  <c r="H82" i="5" s="1"/>
  <c r="H80" i="5" s="1"/>
  <c r="J88" i="5"/>
  <c r="J89" i="5"/>
  <c r="J87" i="5" s="1"/>
  <c r="K89" i="5"/>
  <c r="K87" i="5" s="1"/>
  <c r="K85" i="5" s="1"/>
  <c r="K83" i="5" s="1"/>
  <c r="K81" i="5" s="1"/>
  <c r="K90" i="5"/>
  <c r="K88" i="5" s="1"/>
  <c r="K86" i="5" s="1"/>
  <c r="K84" i="5" s="1"/>
  <c r="K82" i="5" s="1"/>
  <c r="K80" i="5" s="1"/>
  <c r="K78" i="5" s="1"/>
  <c r="K76" i="5" s="1"/>
  <c r="K74" i="5" s="1"/>
  <c r="G95" i="5"/>
  <c r="H95" i="5"/>
  <c r="J100" i="5"/>
  <c r="J98" i="5" s="1"/>
  <c r="J96" i="5" s="1"/>
  <c r="J94" i="5" s="1"/>
  <c r="H102" i="5"/>
  <c r="J110" i="5"/>
  <c r="J108" i="5" s="1"/>
  <c r="J106" i="5" s="1"/>
  <c r="J104" i="5" s="1"/>
  <c r="K112" i="5"/>
  <c r="K110" i="5" s="1"/>
  <c r="K108" i="5" s="1"/>
  <c r="K106" i="5" s="1"/>
  <c r="K104" i="5" s="1"/>
  <c r="K102" i="5" s="1"/>
  <c r="K100" i="5" s="1"/>
  <c r="K98" i="5" s="1"/>
  <c r="K96" i="5" s="1"/>
  <c r="K94" i="5" s="1"/>
  <c r="G114" i="5"/>
  <c r="I114" i="5"/>
  <c r="J114" i="5"/>
  <c r="I115" i="5"/>
  <c r="H115" i="5"/>
  <c r="J117" i="5"/>
  <c r="J115" i="5" s="1"/>
  <c r="J113" i="5" s="1"/>
  <c r="J111" i="5" s="1"/>
  <c r="J109" i="5" s="1"/>
  <c r="J107" i="5" s="1"/>
  <c r="J105" i="5" s="1"/>
  <c r="J103" i="5" s="1"/>
  <c r="J101" i="5" s="1"/>
  <c r="J99" i="5" s="1"/>
  <c r="J97" i="5" s="1"/>
  <c r="J95" i="5" s="1"/>
  <c r="G119" i="5"/>
  <c r="H119" i="5"/>
  <c r="G120" i="5"/>
  <c r="H120" i="5"/>
  <c r="H118" i="5" s="1"/>
  <c r="H116" i="5" s="1"/>
  <c r="H114" i="5" s="1"/>
  <c r="J121" i="5"/>
  <c r="G123" i="5"/>
  <c r="H124" i="5"/>
  <c r="J126" i="5"/>
  <c r="J124" i="5" s="1"/>
  <c r="J122" i="5" s="1"/>
  <c r="H127" i="5"/>
  <c r="H125" i="5" s="1"/>
  <c r="H123" i="5" s="1"/>
  <c r="K113" i="5"/>
  <c r="K111" i="5" s="1"/>
  <c r="K109" i="5" s="1"/>
  <c r="K107" i="5" s="1"/>
  <c r="K105" i="5" s="1"/>
  <c r="K103" i="5" s="1"/>
  <c r="K101" i="5" s="1"/>
  <c r="K99" i="5" s="1"/>
  <c r="K97" i="5" s="1"/>
  <c r="K95" i="5" s="1"/>
  <c r="R35" i="5"/>
  <c r="N35" i="5" s="1"/>
  <c r="P69" i="5"/>
  <c r="N69" i="5" s="1"/>
  <c r="P67" i="5"/>
  <c r="O67" i="5" s="1"/>
  <c r="P68" i="5"/>
  <c r="O68" i="5" s="1"/>
  <c r="P66" i="5"/>
  <c r="O66" i="5" s="1"/>
  <c r="Q102" i="5"/>
  <c r="O102" i="5" s="1"/>
  <c r="P33" i="5"/>
  <c r="N33" i="5" s="1"/>
  <c r="P3" i="5"/>
  <c r="O3" i="5" s="1"/>
  <c r="P4" i="5"/>
  <c r="O4" i="5" s="1"/>
  <c r="P2" i="5"/>
  <c r="O2" i="5" s="1"/>
  <c r="H17" i="9"/>
  <c r="C7" i="9"/>
  <c r="M7" i="9"/>
  <c r="N68" i="5" l="1"/>
  <c r="N67" i="5"/>
  <c r="N66" i="5"/>
  <c r="N4" i="5"/>
  <c r="N3" i="5"/>
  <c r="N2" i="5"/>
  <c r="O69" i="5"/>
  <c r="O3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1825F0-A2D3-4278-B6E3-8F3DE4FBC4AD}" keepAlive="1" name="Query - store" description="Connection to the 'store' query in the workbook." type="5" refreshedVersion="0" background="1">
    <dbPr connection="Provider=Microsoft.Mashup.OleDb.1;Data Source=$Workbook$;Location=store;Extended Properties=&quot;&quot;" command="SELECT * FROM [store]"/>
  </connection>
</connections>
</file>

<file path=xl/sharedStrings.xml><?xml version="1.0" encoding="utf-8"?>
<sst xmlns="http://schemas.openxmlformats.org/spreadsheetml/2006/main" count="2721" uniqueCount="394">
  <si>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</si>
  <si>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</si>
  <si>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</si>
  <si>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</si>
  <si>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</si>
  <si>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</si>
  <si>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</si>
  <si>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</si>
  <si>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</si>
  <si>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</si>
  <si>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</si>
  <si>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</si>
  <si>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</si>
  <si>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</si>
  <si>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</si>
  <si>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</si>
  <si>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</si>
  <si>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</si>
  <si>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</si>
  <si>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</si>
  <si>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</si>
  <si>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</si>
  <si>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</si>
  <si>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</si>
  <si>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</si>
  <si>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</si>
  <si>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</si>
  <si>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</si>
  <si>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</si>
  <si>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</si>
  <si>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</si>
  <si>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</si>
  <si>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</si>
  <si>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</si>
  <si>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</si>
  <si>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</si>
  <si>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</si>
  <si>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</si>
  <si>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</si>
  <si>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</si>
  <si>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</si>
  <si>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</si>
  <si>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</si>
  <si>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</si>
  <si>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</si>
  <si>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</si>
  <si>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</si>
  <si>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</si>
  <si>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</si>
  <si>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</si>
  <si>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</si>
  <si>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</si>
  <si>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</si>
  <si>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</si>
  <si>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</si>
  <si>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</si>
  <si>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</si>
  <si>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</si>
  <si>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</si>
  <si>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</si>
  <si>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</si>
  <si>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</si>
  <si>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</si>
  <si>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</si>
  <si>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</si>
  <si>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</si>
  <si>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</si>
  <si>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</si>
  <si>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</si>
  <si>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</si>
  <si>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</si>
  <si>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</si>
  <si>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</si>
  <si>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</si>
  <si>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</si>
  <si>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</si>
  <si>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</si>
  <si>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</si>
  <si>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</si>
  <si>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</si>
  <si>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</si>
  <si>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</si>
  <si>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</si>
  <si>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</si>
  <si>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</si>
  <si>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</si>
  <si>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</si>
  <si>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</si>
  <si>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</si>
  <si>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</si>
  <si>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</si>
  <si>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</si>
  <si>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</si>
  <si>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</si>
  <si>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</si>
  <si>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</si>
  <si>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</si>
  <si>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</si>
  <si>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</si>
  <si>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</si>
  <si>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</si>
  <si>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</si>
  <si>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</si>
  <si>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</si>
  <si>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</si>
  <si>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</si>
  <si>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</si>
  <si>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</si>
  <si>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</si>
  <si>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</si>
  <si>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</si>
  <si>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</si>
  <si>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</si>
  <si>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</si>
  <si>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</si>
  <si>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</si>
  <si>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</si>
  <si>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</si>
  <si>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</si>
  <si>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</si>
  <si>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</si>
  <si>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</si>
  <si>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</si>
  <si>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</si>
  <si>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</si>
  <si>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</si>
  <si>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</si>
  <si>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</si>
  <si>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</si>
  <si>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</si>
  <si>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</si>
  <si>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</si>
  <si>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</si>
  <si>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</si>
  <si>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</si>
  <si>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</si>
  <si>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</si>
  <si>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</si>
  <si>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</si>
  <si>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</si>
  <si>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</si>
  <si>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</si>
  <si>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</si>
  <si>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</si>
  <si>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</si>
  <si>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</si>
  <si>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</si>
  <si>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</si>
  <si>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</si>
  <si>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</si>
  <si>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</si>
  <si>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</si>
  <si>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</si>
  <si>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</si>
  <si>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</si>
  <si>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</si>
  <si>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</si>
  <si>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</si>
  <si>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</si>
  <si>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</si>
  <si>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</si>
  <si>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</si>
  <si>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</si>
  <si>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</si>
  <si>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</si>
  <si>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</si>
  <si>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</si>
  <si>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</si>
  <si>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</si>
  <si>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</si>
  <si>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</si>
  <si>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</si>
  <si>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</si>
  <si>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</si>
  <si>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</si>
  <si>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</si>
  <si>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</si>
  <si>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</si>
  <si>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</si>
  <si>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</si>
  <si>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</si>
  <si>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</si>
  <si>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</si>
  <si>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</si>
  <si>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</si>
  <si>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</si>
  <si>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</si>
  <si>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</si>
  <si>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</si>
  <si>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</si>
  <si>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</si>
  <si>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</si>
  <si>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</si>
  <si>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</si>
  <si>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</si>
  <si>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</si>
  <si>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</si>
  <si>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</si>
  <si>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</si>
  <si>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</si>
  <si>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</si>
  <si>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</si>
  <si>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</si>
  <si>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</si>
  <si>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</si>
  <si>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</si>
  <si>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</si>
  <si>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</si>
  <si>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</si>
  <si>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</si>
  <si>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</si>
  <si>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</si>
  <si>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</si>
  <si>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</si>
  <si>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</si>
  <si>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</si>
  <si>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</si>
  <si>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</si>
  <si>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</si>
  <si>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</si>
  <si>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</si>
  <si>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</si>
  <si>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</si>
  <si>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</si>
  <si>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</si>
  <si>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</si>
  <si>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</si>
  <si>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</si>
  <si>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</si>
  <si>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</si>
  <si>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</si>
  <si>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</si>
  <si>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</si>
  <si>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</si>
  <si>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</si>
  <si>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</si>
  <si>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</si>
  <si>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</si>
  <si>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</si>
  <si>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</si>
  <si>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</si>
  <si>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</si>
  <si>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</si>
  <si>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</si>
  <si>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</si>
  <si>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</si>
  <si>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</si>
  <si>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</si>
  <si>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</si>
  <si>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</si>
  <si>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</si>
  <si>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</si>
  <si>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</si>
  <si>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</si>
  <si>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</si>
  <si>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</si>
  <si>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</si>
  <si>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</si>
  <si>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</si>
  <si>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</si>
  <si>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</si>
  <si>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</si>
  <si>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</si>
  <si>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</si>
  <si>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</si>
  <si>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</si>
  <si>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</si>
  <si>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</si>
  <si>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</si>
  <si>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</si>
  <si>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</si>
  <si>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</si>
  <si>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</si>
  <si>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</si>
  <si>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</si>
  <si>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</si>
  <si>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</si>
  <si>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</si>
  <si>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</si>
  <si>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</si>
  <si>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</si>
  <si>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</si>
  <si>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</si>
  <si>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</si>
  <si>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</si>
  <si>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</si>
  <si>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</si>
  <si>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</si>
  <si>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</si>
  <si>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</si>
  <si>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</si>
  <si>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</si>
  <si>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</si>
  <si>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</si>
  <si>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</si>
  <si>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</si>
  <si>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</si>
  <si>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</si>
  <si>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</si>
  <si>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</si>
  <si>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</si>
  <si>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</si>
  <si>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</si>
  <si>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</si>
  <si>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</si>
  <si>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</si>
  <si>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</si>
  <si>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</si>
  <si>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</si>
  <si>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</si>
  <si>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</si>
  <si>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</si>
  <si>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</si>
  <si>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</si>
  <si>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</si>
  <si>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</si>
  <si>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</si>
  <si>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</si>
  <si>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</si>
  <si>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</si>
  <si>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غير معروف</t>
  </si>
  <si>
    <t>نوع المنتج</t>
  </si>
  <si>
    <t>الصنف</t>
  </si>
  <si>
    <t>خالد عبد القوى</t>
  </si>
  <si>
    <t>زينا</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</si>
  <si>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</si>
  <si>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</si>
  <si>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</si>
  <si>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</si>
  <si>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</si>
  <si>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</si>
  <si>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</si>
  <si>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</si>
  <si>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</si>
  <si>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</si>
  <si>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</si>
  <si>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</si>
  <si>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</si>
  <si>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</si>
  <si>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</si>
  <si>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</si>
  <si>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</si>
  <si>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</si>
  <si>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</si>
  <si>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</si>
  <si>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</si>
  <si>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</si>
  <si>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</si>
  <si>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</si>
  <si>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</si>
  <si>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</si>
  <si>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</si>
  <si>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</si>
  <si>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</si>
  <si>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</si>
  <si>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</si>
  <si>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سرير دوربن فانتستيك مقاس 100 لونه القماش اسود</t>
  </si>
  <si>
    <t xml:space="preserve"> سرير كيفنج 100 اسود </t>
  </si>
  <si>
    <t xml:space="preserve"> سرير كيفنج 100اسود </t>
  </si>
  <si>
    <t>ركنه  بسرير</t>
  </si>
  <si>
    <t>100/140</t>
  </si>
  <si>
    <t>total sales</t>
  </si>
  <si>
    <t xml:space="preserve">Sum of سعر البيع </t>
  </si>
  <si>
    <t>Total orders</t>
  </si>
  <si>
    <t>Row Labels</t>
  </si>
  <si>
    <t>Grand Total</t>
  </si>
  <si>
    <t xml:space="preserve">Count of منصة البيع </t>
  </si>
  <si>
    <t>Average selling price</t>
  </si>
  <si>
    <t xml:space="preserve">Average of سعر البيع </t>
  </si>
  <si>
    <t>Sales by platform</t>
  </si>
  <si>
    <t>Best seller</t>
  </si>
  <si>
    <t>Best color sold</t>
  </si>
  <si>
    <t>مدة التسليم (المفترضه)</t>
  </si>
  <si>
    <t>مدة التسليم (الفعليه)</t>
  </si>
  <si>
    <t>Average of مدة التسليم (المفترضه)</t>
  </si>
  <si>
    <t>Target</t>
  </si>
  <si>
    <t>Remaining</t>
  </si>
  <si>
    <t>نوع العميل</t>
  </si>
  <si>
    <t>افراد</t>
  </si>
  <si>
    <t>شركة</t>
  </si>
  <si>
    <t>On Time Delivery Rate</t>
  </si>
  <si>
    <t>Count of الحالة</t>
  </si>
  <si>
    <t>orders by Area</t>
  </si>
  <si>
    <t>Delivery status breakdown</t>
  </si>
  <si>
    <t>الجيزة</t>
  </si>
  <si>
    <t>القاهرة</t>
  </si>
  <si>
    <t>الإسكندرية</t>
  </si>
  <si>
    <t>البحر الاحمر</t>
  </si>
  <si>
    <t>الساحل  الشمالي</t>
  </si>
  <si>
    <t>القليوبية</t>
  </si>
  <si>
    <t>Count of نوع العميل</t>
  </si>
  <si>
    <t>عدد الشركاات و الافراد التي تتعامل معها مسيو</t>
  </si>
  <si>
    <t>اوسكار ريتن</t>
  </si>
  <si>
    <t>كيمت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</si>
</sst>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2000000]dd/mm/yyyy"/>
    <numFmt numFmtId="165" formatCode="[$-2000401]0"/>
    <numFmt numFmtId="166" formatCode="_-* #,##0_-;\-* #,##0_-;_-* &quot;-&quot;??_-;_-@_-"/>
  </numFmts>
  <fonts count="21" x14ac:knownFonts="1">
    <font>
      <sz val="11"/>
      <color theme="1"/>
      <name val="Calibri"/>
      <family val="2"/>
      <scheme val="minor"/>
    </font>
    <font>
      <b/>
      <sz val="12"/>
      <color theme="1"/>
      <name val="Calibri"/>
      <family val="2"/>
      <scheme val="minor"/>
    </font>
    <font>
      <sz val="11"/>
      <name val="Calibri"/>
      <family val="2"/>
      <scheme val="minor"/>
    </font>
    <font>
      <sz val="10"/>
      <color rgb="FF4D4D4D"/>
      <name val="Arial"/>
      <family val="2"/>
    </font>
    <font>
      <sz val="10"/>
      <color rgb="FF898989"/>
      <name val="Arial"/>
      <family val="2"/>
    </font>
    <font>
      <sz val="9"/>
      <color rgb="FF52525B"/>
      <name val="Arial"/>
      <family val="2"/>
    </font>
    <font>
      <sz val="9"/>
      <color rgb="FF52525B"/>
      <name val="Arial"/>
      <family val="2"/>
    </font>
    <font>
      <sz val="10"/>
      <name val="Arial"/>
      <family val="2"/>
    </font>
    <font>
      <sz val="16"/>
      <color theme="1"/>
      <name val="Calibri"/>
      <family val="2"/>
      <scheme val="minor"/>
    </font>
    <font>
      <sz val="9"/>
      <color rgb="FF52525B"/>
      <name val="Arial"/>
      <family val="2"/>
    </font>
    <font>
      <b/>
      <sz val="11"/>
      <color theme="1"/>
      <name val="Calibri"/>
      <family val="2"/>
      <scheme val="minor"/>
    </font>
    <font>
      <sz val="14"/>
      <color rgb="FF898989"/>
      <name val="Arial"/>
      <family val="2"/>
    </font>
    <font>
      <sz val="9"/>
      <color rgb="FF52525B"/>
      <name val="Arial"/>
      <family val="2"/>
    </font>
    <font>
      <sz val="9"/>
      <color rgb="FF52525B"/>
      <name val="Arial"/>
      <family val="2"/>
    </font>
    <font>
      <sz val="10"/>
      <color theme="1"/>
      <name val="Arial"/>
      <family val="2"/>
    </font>
    <font>
      <sz val="9"/>
      <color rgb="FF52525B"/>
      <name val="Arial"/>
      <family val="2"/>
    </font>
    <font>
      <sz val="9"/>
      <color rgb="FF52525B"/>
      <name val="Arial"/>
      <family val="2"/>
    </font>
    <font>
      <sz val="11"/>
      <color theme="1"/>
      <name val="Calibri"/>
      <family val="2"/>
      <scheme val="minor"/>
    </font>
    <font>
      <sz val="18"/>
      <color theme="1"/>
      <name val="Calibri"/>
      <family val="2"/>
      <scheme val="minor"/>
    </font>
    <font>
      <sz val="20"/>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7" fillId="0" borderId="0" applyFont="0" applyFill="0" applyBorder="0" applyAlignment="0" applyProtection="0"/>
  </cellStyleXfs>
  <cellXfs count="89">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0" fontId="0" fillId="2" borderId="1" xfId="0" applyFill="1" applyBorder="1" applyAlignment="1">
      <alignment horizontal="right"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0" fillId="0" borderId="1" xfId="0" applyBorder="1" applyAlignment="1">
      <alignment horizontal="center" vertical="center"/>
    </xf>
    <xf numFmtId="0" fontId="1" fillId="2" borderId="2" xfId="0" applyFont="1" applyFill="1" applyBorder="1" applyAlignment="1">
      <alignment horizontal="right" vertical="center"/>
    </xf>
    <xf numFmtId="0" fontId="0" fillId="2" borderId="2" xfId="0" applyFill="1" applyBorder="1" applyAlignment="1">
      <alignment horizontal="right" vertical="center"/>
    </xf>
    <xf numFmtId="0" fontId="0" fillId="3" borderId="1" xfId="0" applyFill="1" applyBorder="1" applyAlignment="1">
      <alignment horizontal="right" vertical="center"/>
    </xf>
    <xf numFmtId="0" fontId="0" fillId="3" borderId="1" xfId="0" applyFill="1" applyBorder="1" applyAlignment="1">
      <alignment horizontal="center" vertical="center"/>
    </xf>
    <xf numFmtId="2" fontId="0" fillId="3" borderId="1" xfId="0" applyNumberFormat="1" applyFill="1" applyBorder="1" applyAlignment="1">
      <alignment horizontal="right" vertical="center"/>
    </xf>
    <xf numFmtId="0" fontId="0" fillId="4" borderId="1" xfId="0" applyFill="1" applyBorder="1" applyAlignment="1">
      <alignment horizontal="right" vertical="center"/>
    </xf>
    <xf numFmtId="0" fontId="0" fillId="4" borderId="1" xfId="0" applyFill="1" applyBorder="1" applyAlignment="1">
      <alignment horizontal="center" vertical="center"/>
    </xf>
    <xf numFmtId="2" fontId="0" fillId="4" borderId="1" xfId="0" applyNumberFormat="1" applyFill="1" applyBorder="1" applyAlignment="1">
      <alignment horizontal="right" vertical="center"/>
    </xf>
    <xf numFmtId="14" fontId="0" fillId="3" borderId="1" xfId="0" applyNumberFormat="1" applyFill="1" applyBorder="1" applyAlignment="1">
      <alignment horizontal="right" vertical="center"/>
    </xf>
    <xf numFmtId="0" fontId="3" fillId="3" borderId="1" xfId="0" applyFont="1" applyFill="1" applyBorder="1" applyAlignment="1">
      <alignment horizontal="center"/>
    </xf>
    <xf numFmtId="0" fontId="0" fillId="3" borderId="2" xfId="0" applyFill="1" applyBorder="1" applyAlignment="1">
      <alignment horizontal="right" vertical="center"/>
    </xf>
    <xf numFmtId="2"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3" fillId="3" borderId="0" xfId="0" applyFont="1" applyFill="1"/>
    <xf numFmtId="0" fontId="0" fillId="5" borderId="2" xfId="0" applyFill="1" applyBorder="1" applyAlignment="1">
      <alignment horizontal="right" vertical="center"/>
    </xf>
    <xf numFmtId="0" fontId="0" fillId="6" borderId="3" xfId="0" applyFill="1" applyBorder="1" applyAlignment="1">
      <alignment horizontal="right" vertical="center"/>
    </xf>
    <xf numFmtId="0" fontId="0" fillId="6" borderId="1" xfId="0" applyFill="1" applyBorder="1" applyAlignment="1">
      <alignment horizontal="right" vertical="center"/>
    </xf>
    <xf numFmtId="2" fontId="0" fillId="6" borderId="3" xfId="0" applyNumberFormat="1" applyFill="1" applyBorder="1" applyAlignment="1">
      <alignment horizontal="right" vertical="center"/>
    </xf>
    <xf numFmtId="164" fontId="0" fillId="6" borderId="3" xfId="0" applyNumberFormat="1" applyFill="1" applyBorder="1" applyAlignment="1">
      <alignment horizontal="right" vertical="center"/>
    </xf>
    <xf numFmtId="2" fontId="0" fillId="6" borderId="1" xfId="0" applyNumberFormat="1" applyFill="1" applyBorder="1" applyAlignment="1">
      <alignment horizontal="right" vertical="center"/>
    </xf>
    <xf numFmtId="164" fontId="0" fillId="6" borderId="1" xfId="0" applyNumberFormat="1" applyFill="1" applyBorder="1" applyAlignment="1">
      <alignment horizontal="right" vertical="center"/>
    </xf>
    <xf numFmtId="14" fontId="0" fillId="6" borderId="1" xfId="0" applyNumberFormat="1" applyFill="1" applyBorder="1" applyAlignment="1">
      <alignment horizontal="right" vertical="center"/>
    </xf>
    <xf numFmtId="14" fontId="0" fillId="4" borderId="1" xfId="0" applyNumberFormat="1" applyFill="1" applyBorder="1" applyAlignment="1">
      <alignment horizontal="right" vertical="center"/>
    </xf>
    <xf numFmtId="0" fontId="0" fillId="6" borderId="1" xfId="0" applyFill="1" applyBorder="1" applyAlignment="1">
      <alignment horizontal="center" vertical="center"/>
    </xf>
    <xf numFmtId="0" fontId="0" fillId="6" borderId="0" xfId="0" applyFill="1" applyAlignment="1">
      <alignment horizontal="right" vertical="center"/>
    </xf>
    <xf numFmtId="14" fontId="0" fillId="6" borderId="3" xfId="0" applyNumberFormat="1" applyFill="1" applyBorder="1" applyAlignment="1">
      <alignment horizontal="right" vertical="center"/>
    </xf>
    <xf numFmtId="0" fontId="3" fillId="6" borderId="1" xfId="0" applyFont="1" applyFill="1" applyBorder="1" applyAlignment="1">
      <alignment horizontal="center"/>
    </xf>
    <xf numFmtId="0" fontId="0" fillId="6" borderId="2" xfId="0" applyFill="1" applyBorder="1" applyAlignment="1">
      <alignment horizontal="right" vertical="center"/>
    </xf>
    <xf numFmtId="2" fontId="0" fillId="6" borderId="1" xfId="0" applyNumberFormat="1" applyFill="1" applyBorder="1" applyAlignment="1">
      <alignment horizontal="center" vertical="center"/>
    </xf>
    <xf numFmtId="14" fontId="0" fillId="6" borderId="1" xfId="0" applyNumberForma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3" fillId="4" borderId="1" xfId="0" applyFont="1" applyFill="1" applyBorder="1" applyAlignment="1">
      <alignment horizontal="center"/>
    </xf>
    <xf numFmtId="0" fontId="0" fillId="4" borderId="2" xfId="0" applyFill="1" applyBorder="1" applyAlignment="1">
      <alignment horizontal="right" vertical="center"/>
    </xf>
    <xf numFmtId="2" fontId="0" fillId="4"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right" vertical="center"/>
    </xf>
    <xf numFmtId="2"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7" fillId="6" borderId="1" xfId="0" applyFont="1" applyFill="1" applyBorder="1" applyAlignment="1">
      <alignment horizontal="center"/>
    </xf>
    <xf numFmtId="0" fontId="5" fillId="3" borderId="0" xfId="0" applyFont="1" applyFill="1" applyAlignment="1">
      <alignment wrapText="1"/>
    </xf>
    <xf numFmtId="0" fontId="8" fillId="6" borderId="0" xfId="0" applyFont="1" applyFill="1"/>
    <xf numFmtId="0" fontId="10" fillId="6" borderId="1" xfId="0" applyFont="1" applyFill="1" applyBorder="1" applyAlignment="1">
      <alignment horizontal="center" vertical="center"/>
    </xf>
    <xf numFmtId="0" fontId="9" fillId="6" borderId="0" xfId="0" applyFont="1" applyFill="1" applyAlignment="1">
      <alignment wrapText="1"/>
    </xf>
    <xf numFmtId="0" fontId="4" fillId="6" borderId="1" xfId="0" applyFont="1" applyFill="1" applyBorder="1" applyAlignment="1">
      <alignment horizontal="center"/>
    </xf>
    <xf numFmtId="0" fontId="2" fillId="4" borderId="1" xfId="0" applyFont="1" applyFill="1" applyBorder="1" applyAlignment="1">
      <alignment horizontal="center" vertical="center"/>
    </xf>
    <xf numFmtId="0" fontId="2" fillId="4" borderId="2" xfId="0" applyFont="1" applyFill="1" applyBorder="1" applyAlignment="1">
      <alignment horizontal="right" vertical="center"/>
    </xf>
    <xf numFmtId="0" fontId="6" fillId="6" borderId="0" xfId="0" applyFont="1" applyFill="1" applyAlignment="1">
      <alignment wrapText="1"/>
    </xf>
    <xf numFmtId="0" fontId="11" fillId="6" borderId="0" xfId="0" applyFont="1" applyFill="1" applyAlignment="1">
      <alignment wrapText="1"/>
    </xf>
    <xf numFmtId="165" fontId="0" fillId="6" borderId="1" xfId="0" applyNumberFormat="1" applyFill="1" applyBorder="1" applyAlignment="1">
      <alignment horizontal="right" vertical="center"/>
    </xf>
    <xf numFmtId="0" fontId="11" fillId="0" borderId="0" xfId="0" applyFont="1" applyAlignment="1">
      <alignment wrapText="1"/>
    </xf>
    <xf numFmtId="2" fontId="2" fillId="3" borderId="1" xfId="0" applyNumberFormat="1" applyFont="1" applyFill="1" applyBorder="1" applyAlignment="1">
      <alignment horizontal="center" vertical="center"/>
    </xf>
    <xf numFmtId="0" fontId="12" fillId="6" borderId="0" xfId="0" applyFont="1" applyFill="1" applyAlignment="1">
      <alignment wrapText="1"/>
    </xf>
    <xf numFmtId="0" fontId="12" fillId="3" borderId="0" xfId="0" applyFont="1" applyFill="1" applyAlignment="1">
      <alignment wrapText="1"/>
    </xf>
    <xf numFmtId="14" fontId="0" fillId="0" borderId="1" xfId="0" applyNumberFormat="1" applyBorder="1" applyAlignment="1">
      <alignment horizontal="right" vertical="center"/>
    </xf>
    <xf numFmtId="0" fontId="13" fillId="6" borderId="0" xfId="0" applyFont="1" applyFill="1" applyAlignment="1">
      <alignment wrapText="1"/>
    </xf>
    <xf numFmtId="0" fontId="14" fillId="6" borderId="0" xfId="0" applyFont="1" applyFill="1" applyAlignment="1">
      <alignment wrapText="1"/>
    </xf>
    <xf numFmtId="0" fontId="15" fillId="6" borderId="0" xfId="0" applyFont="1" applyFill="1" applyAlignment="1">
      <alignment wrapText="1"/>
    </xf>
    <xf numFmtId="0" fontId="0" fillId="3" borderId="0" xfId="0" applyFill="1" applyAlignment="1">
      <alignment horizontal="right" vertical="center"/>
    </xf>
    <xf numFmtId="0" fontId="11" fillId="3" borderId="0" xfId="0" applyFont="1" applyFill="1" applyAlignment="1">
      <alignment wrapText="1"/>
    </xf>
    <xf numFmtId="165" fontId="0" fillId="3" borderId="1" xfId="0" applyNumberFormat="1" applyFill="1" applyBorder="1" applyAlignment="1">
      <alignment horizontal="right" vertical="center"/>
    </xf>
    <xf numFmtId="0" fontId="16" fillId="6" borderId="0" xfId="0" applyFont="1" applyFill="1" applyAlignment="1">
      <alignment wrapText="1"/>
    </xf>
    <xf numFmtId="14" fontId="0" fillId="0" borderId="0" xfId="0" applyNumberFormat="1"/>
    <xf numFmtId="1" fontId="0" fillId="0" borderId="0" xfId="0" applyNumberFormat="1"/>
    <xf numFmtId="0" fontId="0" fillId="0" borderId="0" xfId="0" applyAlignment="1">
      <alignment horizontal="right"/>
    </xf>
    <xf numFmtId="0" fontId="0" fillId="7" borderId="0" xfId="0" applyFill="1"/>
    <xf numFmtId="166" fontId="0" fillId="0" borderId="0" xfId="0" applyNumberFormat="1"/>
    <xf numFmtId="0" fontId="0" fillId="0" borderId="0" xfId="0" pivotButton="1"/>
    <xf numFmtId="0" fontId="0" fillId="0" borderId="0" xfId="0" applyAlignment="1">
      <alignment horizontal="left"/>
    </xf>
    <xf numFmtId="43" fontId="0" fillId="0" borderId="0" xfId="1" applyFont="1"/>
    <xf numFmtId="166" fontId="0" fillId="0" borderId="0" xfId="1" applyNumberFormat="1" applyFont="1"/>
    <xf numFmtId="0" fontId="0" fillId="8" borderId="0" xfId="0" applyFill="1"/>
    <xf numFmtId="0" fontId="19" fillId="8" borderId="0" xfId="0" applyFont="1" applyFill="1" applyAlignment="1">
      <alignment horizontal="center" vertical="center"/>
    </xf>
    <xf numFmtId="0" fontId="20" fillId="8" borderId="0" xfId="0" applyFont="1" applyFill="1" applyAlignment="1">
      <alignment horizontal="center" vertical="center"/>
    </xf>
    <xf numFmtId="0" fontId="18" fillId="7" borderId="0" xfId="0" applyFont="1" applyFill="1" applyAlignment="1">
      <alignment horizontal="center" vertical="center"/>
    </xf>
    <xf numFmtId="0" fontId="19" fillId="7" borderId="0" xfId="0" applyFont="1" applyFill="1" applyAlignment="1">
      <alignment horizontal="center" vertical="center"/>
    </xf>
    <xf numFmtId="0" fontId="18" fillId="8" borderId="0" xfId="0" applyFont="1" applyFill="1" applyAlignment="1">
      <alignment horizontal="center" vertical="center"/>
    </xf>
  </cellXfs>
  <cellStyles count="2">
    <cellStyle name="Comma" xfId="1" builtinId="3"/>
    <cellStyle name="Normal" xfId="0" builtinId="0"/>
  </cellStyles>
  <dxfs count="18">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9" formatCode="dd/mm/yyyy"/>
    </dxf>
    <dxf>
      <numFmt numFmtId="19" formatCode="dd/mm/yyyy"/>
    </dxf>
    <dxf>
      <numFmt numFmtId="19" formatCode="dd/mm/yyyy"/>
    </dxf>
    <dxf>
      <numFmt numFmtId="0" formatCode="General"/>
    </dxf>
    <dxf>
      <numFmt numFmtId="0" formatCode="General"/>
    </dxf>
    <dxf>
      <numFmt numFmtId="1" formatCode="0"/>
    </dxf>
    <dxf>
      <alignment horizontal="general" vertical="bottom" textRotation="0" wrapText="0" indent="0" justifyLastLine="0" shrinkToFit="0" readingOrder="0"/>
    </dxf>
    <dxf>
      <font>
        <b/>
        <i val="0"/>
        <sz val="11"/>
        <color theme="0"/>
      </font>
      <fill>
        <patternFill patternType="solid">
          <bgColor rgb="FF1B2B4B"/>
        </patternFill>
      </fill>
      <border>
        <vertical/>
        <horizontal/>
      </border>
    </dxf>
  </dxfs>
  <tableStyles count="2" defaultTableStyle="TableStyleMedium2" defaultPivotStyle="PivotStyleLight16">
    <tableStyle name="Invisible" pivot="0" table="0" count="0" xr9:uid="{AA73528B-8D85-432A-9172-AA70B5E8C669}"/>
    <tableStyle name="Slicer Style 1" pivot="0" table="0" count="1" xr9:uid="{960E3D9B-8232-49D5-832E-DDBBCE46544A}">
      <tableStyleElement type="wholeTable" dxfId="17"/>
    </tableStyle>
  </tableStyles>
  <colors>
    <mruColors>
      <color rgb="FF74080D"/>
      <color rgb="FF1B2B4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Dashbord.xlsx]paviot table !PivotTable9</c:name>
    <c:fmtId val="2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a:scene3d>
            <a:camera prst="orthographicFront"/>
            <a:lightRig rig="brightRoom" dir="t"/>
          </a:scene3d>
          <a:sp3d prstMaterial="flat">
            <a:bevelT w="50800" h="101600" prst="angle"/>
            <a:contourClr>
              <a:srgbClr val="000000"/>
            </a:contourClr>
          </a:sp3d>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s>
    <c:plotArea>
      <c:layout/>
      <c:lineChart>
        <c:grouping val="standard"/>
        <c:varyColors val="0"/>
        <c:ser>
          <c:idx val="0"/>
          <c:order val="0"/>
          <c:tx>
            <c:strRef>
              <c:f>'paviot table '!$AJ$4</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BF4F-4B6A-B7F0-679C6828CD07}"/>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BF4F-4B6A-B7F0-679C6828CD07}"/>
              </c:ext>
            </c:extLst>
          </c:dPt>
          <c:dPt>
            <c:idx val="2"/>
            <c:marker>
              <c:symbol val="none"/>
            </c:marker>
            <c:bubble3D val="0"/>
            <c:extLst>
              <c:ext xmlns:c16="http://schemas.microsoft.com/office/drawing/2014/chart" uri="{C3380CC4-5D6E-409C-BE32-E72D297353CC}">
                <c16:uniqueId val="{00000005-BF4F-4B6A-B7F0-679C6828CD07}"/>
              </c:ext>
            </c:extLst>
          </c:dPt>
          <c:dPt>
            <c:idx val="3"/>
            <c:marker>
              <c:symbol val="none"/>
            </c:marker>
            <c:bubble3D val="0"/>
            <c:extLst>
              <c:ext xmlns:c16="http://schemas.microsoft.com/office/drawing/2014/chart" uri="{C3380CC4-5D6E-409C-BE32-E72D297353CC}">
                <c16:uniqueId val="{00000007-BF4F-4B6A-B7F0-679C6828CD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 '!$AI$5:$AI$7</c:f>
              <c:strCache>
                <c:ptCount val="2"/>
                <c:pt idx="0">
                  <c:v>لاغى</c:v>
                </c:pt>
                <c:pt idx="1">
                  <c:v>نم التسليم</c:v>
                </c:pt>
              </c:strCache>
            </c:strRef>
          </c:cat>
          <c:val>
            <c:numRef>
              <c:f>'paviot table '!$AJ$5:$AJ$7</c:f>
              <c:numCache>
                <c:formatCode>_-* #,##0_-;\-* #,##0_-;_-* "-"??_-;_-@_-</c:formatCode>
                <c:ptCount val="2"/>
                <c:pt idx="0">
                  <c:v>1</c:v>
                </c:pt>
                <c:pt idx="1">
                  <c:v>3</c:v>
                </c:pt>
              </c:numCache>
            </c:numRef>
          </c:val>
          <c:smooth val="0"/>
          <c:extLst>
            <c:ext xmlns:c16="http://schemas.microsoft.com/office/drawing/2014/chart" uri="{C3380CC4-5D6E-409C-BE32-E72D297353CC}">
              <c16:uniqueId val="{00000008-BF4F-4B6A-B7F0-679C6828CD07}"/>
            </c:ext>
          </c:extLst>
        </c:ser>
        <c:dLbls>
          <c:showLegendKey val="0"/>
          <c:showVal val="0"/>
          <c:showCatName val="0"/>
          <c:showSerName val="0"/>
          <c:showPercent val="0"/>
          <c:showBubbleSize val="0"/>
        </c:dLbls>
        <c:smooth val="0"/>
        <c:axId val="894992831"/>
        <c:axId val="894995231"/>
      </c:lineChart>
      <c:catAx>
        <c:axId val="8949928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995231"/>
        <c:crosses val="autoZero"/>
        <c:auto val="1"/>
        <c:lblAlgn val="ctr"/>
        <c:lblOffset val="100"/>
        <c:noMultiLvlLbl val="0"/>
      </c:catAx>
      <c:valAx>
        <c:axId val="89499523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99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310099017199445E-2"/>
          <c:y val="7.2315543890347028E-2"/>
          <c:w val="0.74139372390334723"/>
          <c:h val="0.7743441236512103"/>
        </c:manualLayout>
      </c:layout>
      <c:doughnutChart>
        <c:varyColors val="1"/>
        <c:ser>
          <c:idx val="0"/>
          <c:order val="0"/>
          <c:dPt>
            <c:idx val="0"/>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DE2-4194-A4F8-BE643809957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DE2-4194-A4F8-BE64380995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('paviot table '!$W$8,'paviot table '!$X$8)</c:f>
              <c:numCache>
                <c:formatCode>General</c:formatCode>
                <c:ptCount val="2"/>
                <c:pt idx="0">
                  <c:v>16</c:v>
                </c:pt>
                <c:pt idx="1">
                  <c:v>6</c:v>
                </c:pt>
              </c:numCache>
            </c:numRef>
          </c:val>
          <c:extLst>
            <c:ext xmlns:c16="http://schemas.microsoft.com/office/drawing/2014/chart" uri="{C3380CC4-5D6E-409C-BE32-E72D297353CC}">
              <c16:uniqueId val="{00000004-0DE2-4194-A4F8-BE643809957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B4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Dashbord.xlsx]paviot table !PivotTable6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2.073613271124933E-3"/>
              <c:y val="-0.33021806853582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2.0736132711249352E-3"/>
              <c:y val="-0.16822429906542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layout>
            <c:manualLayout>
              <c:x val="0"/>
              <c:y val="-6.8535825545171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0"/>
              <c:y val="-0.14330218068535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7.476635514018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dLbl>
          <c:idx val="0"/>
          <c:layout>
            <c:manualLayout>
              <c:x val="0"/>
              <c:y val="-0.13707165109034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0"/>
              <c:y val="-7.476635514018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dLbl>
          <c:idx val="0"/>
          <c:layout>
            <c:manualLayout>
              <c:x val="4.1472265422497941E-3"/>
              <c:y val="-0.124610591900311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dLbl>
          <c:idx val="0"/>
          <c:layout>
            <c:manualLayout>
              <c:x val="-4.1472265422498704E-3"/>
              <c:y val="-0.13084112149532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dLbl>
          <c:idx val="0"/>
          <c:layout>
            <c:manualLayout>
              <c:x val="0"/>
              <c:y val="-0.16199376947040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dLbl>
          <c:idx val="0"/>
          <c:layout>
            <c:manualLayout>
              <c:x val="2.0736132711249352E-3"/>
              <c:y val="-0.292834890965732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200752705289755E-2"/>
          <c:y val="0.14301714622120831"/>
          <c:w val="0.96791940665270648"/>
          <c:h val="0.63143866362499079"/>
        </c:manualLayout>
      </c:layout>
      <c:barChart>
        <c:barDir val="col"/>
        <c:grouping val="stacked"/>
        <c:varyColors val="0"/>
        <c:ser>
          <c:idx val="0"/>
          <c:order val="0"/>
          <c:tx>
            <c:strRef>
              <c:f>'paviot table '!$H$22</c:f>
              <c:strCache>
                <c:ptCount val="1"/>
                <c:pt idx="0">
                  <c:v>Total</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7D91-4EF1-8A6B-A357ADF842DD}"/>
              </c:ext>
            </c:extLst>
          </c:dPt>
          <c:dPt>
            <c:idx val="1"/>
            <c:invertIfNegative val="0"/>
            <c:bubble3D val="0"/>
            <c:spPr>
              <a:solidFill>
                <a:srgbClr val="C00000"/>
              </a:solidFill>
              <a:ln>
                <a:noFill/>
              </a:ln>
              <a:effectLst/>
            </c:spPr>
            <c:extLst>
              <c:ext xmlns:c16="http://schemas.microsoft.com/office/drawing/2014/chart" uri="{C3380CC4-5D6E-409C-BE32-E72D297353CC}">
                <c16:uniqueId val="{0000000B-7D91-4EF1-8A6B-A357ADF842DD}"/>
              </c:ext>
            </c:extLst>
          </c:dPt>
          <c:dPt>
            <c:idx val="2"/>
            <c:invertIfNegative val="0"/>
            <c:bubble3D val="0"/>
            <c:extLst>
              <c:ext xmlns:c16="http://schemas.microsoft.com/office/drawing/2014/chart" uri="{C3380CC4-5D6E-409C-BE32-E72D297353CC}">
                <c16:uniqueId val="{0000000A-7D91-4EF1-8A6B-A357ADF842DD}"/>
              </c:ext>
            </c:extLst>
          </c:dPt>
          <c:dPt>
            <c:idx val="3"/>
            <c:invertIfNegative val="0"/>
            <c:bubble3D val="0"/>
            <c:extLst>
              <c:ext xmlns:c16="http://schemas.microsoft.com/office/drawing/2014/chart" uri="{C3380CC4-5D6E-409C-BE32-E72D297353CC}">
                <c16:uniqueId val="{00000009-7D91-4EF1-8A6B-A357ADF842DD}"/>
              </c:ext>
            </c:extLst>
          </c:dPt>
          <c:dPt>
            <c:idx val="4"/>
            <c:invertIfNegative val="0"/>
            <c:bubble3D val="0"/>
            <c:extLst>
              <c:ext xmlns:c16="http://schemas.microsoft.com/office/drawing/2014/chart" uri="{C3380CC4-5D6E-409C-BE32-E72D297353CC}">
                <c16:uniqueId val="{00000008-7D91-4EF1-8A6B-A357ADF842DD}"/>
              </c:ext>
            </c:extLst>
          </c:dPt>
          <c:dPt>
            <c:idx val="5"/>
            <c:invertIfNegative val="0"/>
            <c:bubble3D val="0"/>
            <c:extLst>
              <c:ext xmlns:c16="http://schemas.microsoft.com/office/drawing/2014/chart" uri="{C3380CC4-5D6E-409C-BE32-E72D297353CC}">
                <c16:uniqueId val="{00000007-7D91-4EF1-8A6B-A357ADF842DD}"/>
              </c:ext>
            </c:extLst>
          </c:dPt>
          <c:dPt>
            <c:idx val="6"/>
            <c:invertIfNegative val="0"/>
            <c:bubble3D val="0"/>
            <c:extLst>
              <c:ext xmlns:c16="http://schemas.microsoft.com/office/drawing/2014/chart" uri="{C3380CC4-5D6E-409C-BE32-E72D297353CC}">
                <c16:uniqueId val="{00000006-7D91-4EF1-8A6B-A357ADF842DD}"/>
              </c:ext>
            </c:extLst>
          </c:dPt>
          <c:dPt>
            <c:idx val="7"/>
            <c:invertIfNegative val="0"/>
            <c:bubble3D val="0"/>
            <c:extLst>
              <c:ext xmlns:c16="http://schemas.microsoft.com/office/drawing/2014/chart" uri="{C3380CC4-5D6E-409C-BE32-E72D297353CC}">
                <c16:uniqueId val="{00000005-7D91-4EF1-8A6B-A357ADF842DD}"/>
              </c:ext>
            </c:extLst>
          </c:dPt>
          <c:dPt>
            <c:idx val="8"/>
            <c:invertIfNegative val="0"/>
            <c:bubble3D val="0"/>
            <c:extLst>
              <c:ext xmlns:c16="http://schemas.microsoft.com/office/drawing/2014/chart" uri="{C3380CC4-5D6E-409C-BE32-E72D297353CC}">
                <c16:uniqueId val="{00000004-7D91-4EF1-8A6B-A357ADF842DD}"/>
              </c:ext>
            </c:extLst>
          </c:dPt>
          <c:dPt>
            <c:idx val="9"/>
            <c:invertIfNegative val="0"/>
            <c:bubble3D val="0"/>
            <c:extLst>
              <c:ext xmlns:c16="http://schemas.microsoft.com/office/drawing/2014/chart" uri="{C3380CC4-5D6E-409C-BE32-E72D297353CC}">
                <c16:uniqueId val="{00000003-7D91-4EF1-8A6B-A357ADF842DD}"/>
              </c:ext>
            </c:extLst>
          </c:dPt>
          <c:dPt>
            <c:idx val="10"/>
            <c:invertIfNegative val="0"/>
            <c:bubble3D val="0"/>
            <c:extLst>
              <c:ext xmlns:c16="http://schemas.microsoft.com/office/drawing/2014/chart" uri="{C3380CC4-5D6E-409C-BE32-E72D297353CC}">
                <c16:uniqueId val="{00000002-7D91-4EF1-8A6B-A357ADF842DD}"/>
              </c:ext>
            </c:extLst>
          </c:dPt>
          <c:dLbls>
            <c:dLbl>
              <c:idx val="0"/>
              <c:layout>
                <c:manualLayout>
                  <c:x val="2.073613271124933E-3"/>
                  <c:y val="-0.330218068535825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91-4EF1-8A6B-A357ADF842DD}"/>
                </c:ext>
              </c:extLst>
            </c:dLbl>
            <c:dLbl>
              <c:idx val="1"/>
              <c:layout>
                <c:manualLayout>
                  <c:x val="0"/>
                  <c:y val="-7.47663551401869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D91-4EF1-8A6B-A357ADF842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 '!$G$23:$G$25</c:f>
              <c:strCache>
                <c:ptCount val="2"/>
                <c:pt idx="0">
                  <c:v>اسود</c:v>
                </c:pt>
                <c:pt idx="1">
                  <c:v>ملون</c:v>
                </c:pt>
              </c:strCache>
            </c:strRef>
          </c:cat>
          <c:val>
            <c:numRef>
              <c:f>'paviot table '!$H$23:$H$25</c:f>
              <c:numCache>
                <c:formatCode>_-* #,##0_-;\-* #,##0_-;_-* "-"??_-;_-@_-</c:formatCode>
                <c:ptCount val="2"/>
                <c:pt idx="0">
                  <c:v>17654</c:v>
                </c:pt>
                <c:pt idx="1">
                  <c:v>8544.91</c:v>
                </c:pt>
              </c:numCache>
            </c:numRef>
          </c:val>
          <c:extLst>
            <c:ext xmlns:c16="http://schemas.microsoft.com/office/drawing/2014/chart" uri="{C3380CC4-5D6E-409C-BE32-E72D297353CC}">
              <c16:uniqueId val="{00000000-7D91-4EF1-8A6B-A357ADF842DD}"/>
            </c:ext>
          </c:extLst>
        </c:ser>
        <c:dLbls>
          <c:dLblPos val="ctr"/>
          <c:showLegendKey val="0"/>
          <c:showVal val="1"/>
          <c:showCatName val="0"/>
          <c:showSerName val="0"/>
          <c:showPercent val="0"/>
          <c:showBubbleSize val="0"/>
        </c:dLbls>
        <c:gapWidth val="150"/>
        <c:overlap val="100"/>
        <c:axId val="895036511"/>
        <c:axId val="895039871"/>
      </c:barChart>
      <c:catAx>
        <c:axId val="89503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039871"/>
        <c:crosses val="autoZero"/>
        <c:auto val="1"/>
        <c:lblAlgn val="ctr"/>
        <c:lblOffset val="100"/>
        <c:noMultiLvlLbl val="0"/>
      </c:catAx>
      <c:valAx>
        <c:axId val="895039871"/>
        <c:scaling>
          <c:orientation val="minMax"/>
        </c:scaling>
        <c:delete val="1"/>
        <c:axPos val="l"/>
        <c:numFmt formatCode="_-* #,##0_-;\-* #,##0_-;_-* &quot;-&quot;??_-;_-@_-" sourceLinked="1"/>
        <c:majorTickMark val="none"/>
        <c:minorTickMark val="none"/>
        <c:tickLblPos val="nextTo"/>
        <c:crossAx val="89503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Dashbord.xlsx]paviot table !PivotTable5</c:name>
    <c:fmtId val="1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circle"/>
          <c:size val="5"/>
          <c:spPr>
            <a:solidFill>
              <a:schemeClr val="accent1"/>
            </a:solidFill>
            <a:ln w="9525">
              <a:solidFill>
                <a:schemeClr val="accent1"/>
              </a:solidFill>
            </a:ln>
            <a:effectLst/>
          </c:spPr>
        </c:marker>
        <c:dLbl>
          <c:idx val="0"/>
          <c:layout>
            <c:manualLayout>
              <c:x val="-2.8568115942028984E-2"/>
              <c:y val="-0.116490571883758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28575" cap="rnd">
            <a:solidFill>
              <a:srgbClr val="C00000"/>
            </a:solidFill>
            <a:round/>
          </a:ln>
          <a:effectLst/>
        </c:spPr>
        <c:marker>
          <c:symbol val="none"/>
        </c:marker>
        <c:dLbl>
          <c:idx val="0"/>
          <c:layout>
            <c:manualLayout>
              <c:x val="-2.8568115942028984E-2"/>
              <c:y val="-2.9769741685448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pivotFmt>
    </c:pivotFmts>
    <c:plotArea>
      <c:layout>
        <c:manualLayout>
          <c:layoutTarget val="inner"/>
          <c:xMode val="edge"/>
          <c:yMode val="edge"/>
          <c:x val="2.5507246376811593E-2"/>
          <c:y val="0.11804616945301434"/>
          <c:w val="0.94898550724637676"/>
          <c:h val="0.67416099090498227"/>
        </c:manualLayout>
      </c:layout>
      <c:barChart>
        <c:barDir val="col"/>
        <c:grouping val="clustered"/>
        <c:varyColors val="0"/>
        <c:ser>
          <c:idx val="0"/>
          <c:order val="0"/>
          <c:tx>
            <c:strRef>
              <c:f>'paviot table '!$C$14</c:f>
              <c:strCache>
                <c:ptCount val="1"/>
                <c:pt idx="0">
                  <c:v>Total</c:v>
                </c:pt>
              </c:strCache>
            </c:strRef>
          </c:tx>
          <c:spPr>
            <a:solidFill>
              <a:srgbClr val="C00000"/>
            </a:solidFill>
            <a:ln>
              <a:solidFill>
                <a:srgbClr val="C00000"/>
              </a:solidFill>
            </a:ln>
            <a:effectLst/>
          </c:spPr>
          <c:invertIfNegative val="0"/>
          <c:dPt>
            <c:idx val="0"/>
            <c:invertIfNegative val="0"/>
            <c:bubble3D val="0"/>
            <c:spPr>
              <a:solidFill>
                <a:srgbClr val="C00000"/>
              </a:solidFill>
              <a:ln w="28575" cap="rnd">
                <a:solidFill>
                  <a:srgbClr val="C00000"/>
                </a:solidFill>
                <a:round/>
              </a:ln>
              <a:effectLst/>
            </c:spPr>
            <c:extLst>
              <c:ext xmlns:c16="http://schemas.microsoft.com/office/drawing/2014/chart" uri="{C3380CC4-5D6E-409C-BE32-E72D297353CC}">
                <c16:uniqueId val="{00000002-6ED3-4A0F-B088-097A6BB5A16A}"/>
              </c:ext>
            </c:extLst>
          </c:dPt>
          <c:dPt>
            <c:idx val="1"/>
            <c:invertIfNegative val="0"/>
            <c:bubble3D val="0"/>
            <c:extLst>
              <c:ext xmlns:c16="http://schemas.microsoft.com/office/drawing/2014/chart" uri="{C3380CC4-5D6E-409C-BE32-E72D297353CC}">
                <c16:uniqueId val="{00000001-6ED3-4A0F-B088-097A6BB5A16A}"/>
              </c:ext>
            </c:extLst>
          </c:dPt>
          <c:dLbls>
            <c:dLbl>
              <c:idx val="0"/>
              <c:layout>
                <c:manualLayout>
                  <c:x val="-2.8568115942028984E-2"/>
                  <c:y val="-2.97697416854483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D3-4A0F-B088-097A6BB5A1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 '!$B$15:$B$16</c:f>
              <c:strCache>
                <c:ptCount val="1"/>
                <c:pt idx="0">
                  <c:v>سرير</c:v>
                </c:pt>
              </c:strCache>
            </c:strRef>
          </c:cat>
          <c:val>
            <c:numRef>
              <c:f>'paviot table '!$C$15:$C$16</c:f>
              <c:numCache>
                <c:formatCode>_-* #,##0_-;\-* #,##0_-;_-* "-"??_-;_-@_-</c:formatCode>
                <c:ptCount val="1"/>
                <c:pt idx="0">
                  <c:v>26198.91</c:v>
                </c:pt>
              </c:numCache>
            </c:numRef>
          </c:val>
          <c:extLst>
            <c:ext xmlns:c16="http://schemas.microsoft.com/office/drawing/2014/chart" uri="{C3380CC4-5D6E-409C-BE32-E72D297353CC}">
              <c16:uniqueId val="{00000000-6ED3-4A0F-B088-097A6BB5A16A}"/>
            </c:ext>
          </c:extLst>
        </c:ser>
        <c:dLbls>
          <c:showLegendKey val="0"/>
          <c:showVal val="1"/>
          <c:showCatName val="0"/>
          <c:showSerName val="0"/>
          <c:showPercent val="0"/>
          <c:showBubbleSize val="0"/>
        </c:dLbls>
        <c:gapWidth val="150"/>
        <c:axId val="992655776"/>
        <c:axId val="992653856"/>
      </c:barChart>
      <c:catAx>
        <c:axId val="9926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53856"/>
        <c:crosses val="autoZero"/>
        <c:auto val="1"/>
        <c:lblAlgn val="ctr"/>
        <c:lblOffset val="100"/>
        <c:noMultiLvlLbl val="0"/>
      </c:catAx>
      <c:valAx>
        <c:axId val="992653856"/>
        <c:scaling>
          <c:orientation val="minMax"/>
        </c:scaling>
        <c:delete val="1"/>
        <c:axPos val="l"/>
        <c:numFmt formatCode="_-* #,##0_-;\-* #,##0_-;_-* &quot;-&quot;??_-;_-@_-" sourceLinked="1"/>
        <c:majorTickMark val="none"/>
        <c:minorTickMark val="none"/>
        <c:tickLblPos val="nextTo"/>
        <c:crossAx val="99265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Dashbord.xlsx]paviot table !PivotTable11</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spPr>
          <a:solidFill>
            <a:srgbClr val="C00000"/>
          </a:solidFill>
          <a:ln>
            <a:noFill/>
          </a:ln>
          <a:effectLst/>
        </c:spPr>
      </c:pivotFmt>
      <c:pivotFmt>
        <c:idx val="23"/>
      </c:pivotFmt>
      <c:pivotFmt>
        <c:idx val="24"/>
      </c:pivotFmt>
      <c:pivotFmt>
        <c:idx val="25"/>
      </c:pivotFmt>
      <c:pivotFmt>
        <c:idx val="26"/>
      </c:pivotFmt>
      <c:pivotFmt>
        <c:idx val="27"/>
      </c:pivotFmt>
    </c:pivotFmts>
    <c:plotArea>
      <c:layout>
        <c:manualLayout>
          <c:layoutTarget val="inner"/>
          <c:xMode val="edge"/>
          <c:yMode val="edge"/>
          <c:x val="8.7553591570154465E-2"/>
          <c:y val="0.15535938715402581"/>
          <c:w val="0.60398933703525304"/>
          <c:h val="0.73416313492684981"/>
        </c:manualLayout>
      </c:layout>
      <c:barChart>
        <c:barDir val="bar"/>
        <c:grouping val="clustered"/>
        <c:varyColors val="0"/>
        <c:ser>
          <c:idx val="0"/>
          <c:order val="0"/>
          <c:tx>
            <c:strRef>
              <c:f>'paviot table '!$R$4</c:f>
              <c:strCache>
                <c:ptCount val="1"/>
                <c:pt idx="0">
                  <c:v>Total</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13-5FF2-4A19-A143-FE3FBDEB98F4}"/>
              </c:ext>
            </c:extLst>
          </c:dPt>
          <c:dPt>
            <c:idx val="1"/>
            <c:invertIfNegative val="0"/>
            <c:bubble3D val="0"/>
            <c:extLst>
              <c:ext xmlns:c16="http://schemas.microsoft.com/office/drawing/2014/chart" uri="{C3380CC4-5D6E-409C-BE32-E72D297353CC}">
                <c16:uniqueId val="{00000015-5FF2-4A19-A143-FE3FBDEB98F4}"/>
              </c:ext>
            </c:extLst>
          </c:dPt>
          <c:dPt>
            <c:idx val="2"/>
            <c:invertIfNegative val="0"/>
            <c:bubble3D val="0"/>
            <c:extLst>
              <c:ext xmlns:c16="http://schemas.microsoft.com/office/drawing/2014/chart" uri="{C3380CC4-5D6E-409C-BE32-E72D297353CC}">
                <c16:uniqueId val="{00000017-5FF2-4A19-A143-FE3FBDEB98F4}"/>
              </c:ext>
            </c:extLst>
          </c:dPt>
          <c:dPt>
            <c:idx val="3"/>
            <c:invertIfNegative val="0"/>
            <c:bubble3D val="0"/>
            <c:extLst>
              <c:ext xmlns:c16="http://schemas.microsoft.com/office/drawing/2014/chart" uri="{C3380CC4-5D6E-409C-BE32-E72D297353CC}">
                <c16:uniqueId val="{00000019-5FF2-4A19-A143-FE3FBDEB98F4}"/>
              </c:ext>
            </c:extLst>
          </c:dPt>
          <c:dPt>
            <c:idx val="4"/>
            <c:invertIfNegative val="0"/>
            <c:bubble3D val="0"/>
            <c:extLst>
              <c:ext xmlns:c16="http://schemas.microsoft.com/office/drawing/2014/chart" uri="{C3380CC4-5D6E-409C-BE32-E72D297353CC}">
                <c16:uniqueId val="{0000001B-5FF2-4A19-A143-FE3FBDEB98F4}"/>
              </c:ext>
            </c:extLst>
          </c:dPt>
          <c:dPt>
            <c:idx val="5"/>
            <c:invertIfNegative val="0"/>
            <c:bubble3D val="0"/>
            <c:extLst>
              <c:ext xmlns:c16="http://schemas.microsoft.com/office/drawing/2014/chart" uri="{C3380CC4-5D6E-409C-BE32-E72D297353CC}">
                <c16:uniqueId val="{0000001D-5FF2-4A19-A143-FE3FBDEB98F4}"/>
              </c:ext>
            </c:extLst>
          </c:dPt>
          <c:dPt>
            <c:idx val="6"/>
            <c:invertIfNegative val="0"/>
            <c:bubble3D val="0"/>
            <c:extLst>
              <c:ext xmlns:c16="http://schemas.microsoft.com/office/drawing/2014/chart" uri="{C3380CC4-5D6E-409C-BE32-E72D297353CC}">
                <c16:uniqueId val="{0000001F-5FF2-4A19-A143-FE3FBDEB98F4}"/>
              </c:ext>
            </c:extLst>
          </c:dPt>
          <c:dPt>
            <c:idx val="7"/>
            <c:invertIfNegative val="0"/>
            <c:bubble3D val="0"/>
            <c:extLst>
              <c:ext xmlns:c16="http://schemas.microsoft.com/office/drawing/2014/chart" uri="{C3380CC4-5D6E-409C-BE32-E72D297353CC}">
                <c16:uniqueId val="{00000021-5FF2-4A19-A143-FE3FBDEB98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'paviot table '!$Q$5:$Q$6</c:f>
              <c:strCache>
                <c:ptCount val="1"/>
                <c:pt idx="0">
                  <c:v>اوسكار ريتن</c:v>
                </c:pt>
              </c:strCache>
            </c:strRef>
          </c:cat>
          <c:val>
            <c:numRef>
              <c:f>'paviot table '!$R$5:$R$6</c:f>
              <c:numCache>
                <c:formatCode>_-* #,##0_-;\-* #,##0_-;_-* "-"??_-;_-@_-</c:formatCode>
                <c:ptCount val="1"/>
                <c:pt idx="0">
                  <c:v>4</c:v>
                </c:pt>
              </c:numCache>
            </c:numRef>
          </c:val>
          <c:extLst>
            <c:ext xmlns:c16="http://schemas.microsoft.com/office/drawing/2014/chart" uri="{C3380CC4-5D6E-409C-BE32-E72D297353CC}">
              <c16:uniqueId val="{00000022-5FF2-4A19-A143-FE3FBDEB98F4}"/>
            </c:ext>
          </c:extLst>
        </c:ser>
        <c:dLbls>
          <c:showLegendKey val="0"/>
          <c:showVal val="0"/>
          <c:showCatName val="0"/>
          <c:showSerName val="0"/>
          <c:showPercent val="0"/>
          <c:showBubbleSize val="0"/>
        </c:dLbls>
        <c:gapWidth val="100"/>
        <c:axId val="1743068575"/>
        <c:axId val="1743066175"/>
      </c:barChart>
      <c:valAx>
        <c:axId val="1743066175"/>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3068575"/>
        <c:crosses val="autoZero"/>
        <c:crossBetween val="between"/>
      </c:valAx>
      <c:catAx>
        <c:axId val="17430685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3066175"/>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Dashbord.xlsx]paviot table !PivotTable8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1.0986142845124721E-16"/>
              <c:y val="-5.6022408963585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2.9962553885411868E-3"/>
              <c:y val="-0.14565826330532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layout>
            <c:manualLayout>
              <c:x val="0"/>
              <c:y val="-5.6022408963585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0"/>
              <c:y val="-0.12324929971988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6.1624649859944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dLbl>
          <c:idx val="0"/>
          <c:layout>
            <c:manualLayout>
              <c:x val="0"/>
              <c:y val="-0.10084033613445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2.7465357112811802E-17"/>
              <c:y val="-0.2521008403361344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144114-246B-429B-AABA-FE5E06065FA5}"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C00000"/>
          </a:solidFill>
          <a:ln>
            <a:noFill/>
          </a:ln>
          <a:effectLst/>
        </c:spPr>
        <c:dLbl>
          <c:idx val="0"/>
          <c:layout>
            <c:manualLayout>
              <c:x val="0"/>
              <c:y val="-0.34173669467787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'paviot table '!$AD$4</c:f>
              <c:strCache>
                <c:ptCount val="1"/>
                <c:pt idx="0">
                  <c:v>Total</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8-5C99-45E9-96A5-64635B18E1B0}"/>
              </c:ext>
            </c:extLst>
          </c:dPt>
          <c:dPt>
            <c:idx val="1"/>
            <c:invertIfNegative val="0"/>
            <c:bubble3D val="0"/>
            <c:extLst>
              <c:ext xmlns:c16="http://schemas.microsoft.com/office/drawing/2014/chart" uri="{C3380CC4-5D6E-409C-BE32-E72D297353CC}">
                <c16:uniqueId val="{00000007-5C99-45E9-96A5-64635B18E1B0}"/>
              </c:ext>
            </c:extLst>
          </c:dPt>
          <c:dPt>
            <c:idx val="2"/>
            <c:invertIfNegative val="0"/>
            <c:bubble3D val="0"/>
            <c:extLst>
              <c:ext xmlns:c16="http://schemas.microsoft.com/office/drawing/2014/chart" uri="{C3380CC4-5D6E-409C-BE32-E72D297353CC}">
                <c16:uniqueId val="{00000006-5C99-45E9-96A5-64635B18E1B0}"/>
              </c:ext>
            </c:extLst>
          </c:dPt>
          <c:dPt>
            <c:idx val="3"/>
            <c:invertIfNegative val="0"/>
            <c:bubble3D val="0"/>
            <c:extLst>
              <c:ext xmlns:c16="http://schemas.microsoft.com/office/drawing/2014/chart" uri="{C3380CC4-5D6E-409C-BE32-E72D297353CC}">
                <c16:uniqueId val="{00000005-5C99-45E9-96A5-64635B18E1B0}"/>
              </c:ext>
            </c:extLst>
          </c:dPt>
          <c:dPt>
            <c:idx val="4"/>
            <c:invertIfNegative val="0"/>
            <c:bubble3D val="0"/>
            <c:extLst>
              <c:ext xmlns:c16="http://schemas.microsoft.com/office/drawing/2014/chart" uri="{C3380CC4-5D6E-409C-BE32-E72D297353CC}">
                <c16:uniqueId val="{00000004-5C99-45E9-96A5-64635B18E1B0}"/>
              </c:ext>
            </c:extLst>
          </c:dPt>
          <c:dPt>
            <c:idx val="5"/>
            <c:invertIfNegative val="0"/>
            <c:bubble3D val="0"/>
            <c:extLst>
              <c:ext xmlns:c16="http://schemas.microsoft.com/office/drawing/2014/chart" uri="{C3380CC4-5D6E-409C-BE32-E72D297353CC}">
                <c16:uniqueId val="{00000003-5C99-45E9-96A5-64635B18E1B0}"/>
              </c:ext>
            </c:extLst>
          </c:dPt>
          <c:dPt>
            <c:idx val="6"/>
            <c:invertIfNegative val="0"/>
            <c:bubble3D val="0"/>
            <c:extLst>
              <c:ext xmlns:c16="http://schemas.microsoft.com/office/drawing/2014/chart" uri="{C3380CC4-5D6E-409C-BE32-E72D297353CC}">
                <c16:uniqueId val="{00000002-5C99-45E9-96A5-64635B18E1B0}"/>
              </c:ext>
            </c:extLst>
          </c:dPt>
          <c:dPt>
            <c:idx val="7"/>
            <c:invertIfNegative val="0"/>
            <c:bubble3D val="0"/>
            <c:extLst>
              <c:ext xmlns:c16="http://schemas.microsoft.com/office/drawing/2014/chart" uri="{C3380CC4-5D6E-409C-BE32-E72D297353CC}">
                <c16:uniqueId val="{00000001-5C99-45E9-96A5-64635B18E1B0}"/>
              </c:ext>
            </c:extLst>
          </c:dPt>
          <c:dLbls>
            <c:dLbl>
              <c:idx val="0"/>
              <c:layout>
                <c:manualLayout>
                  <c:x val="0"/>
                  <c:y val="-0.34173669467787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99-45E9-96A5-64635B18E1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 '!$AC$5:$AC$6</c:f>
              <c:strCache>
                <c:ptCount val="1"/>
                <c:pt idx="0">
                  <c:v>القاهرة</c:v>
                </c:pt>
              </c:strCache>
            </c:strRef>
          </c:cat>
          <c:val>
            <c:numRef>
              <c:f>'paviot table '!$AD$5:$AD$6</c:f>
              <c:numCache>
                <c:formatCode>_-* #,##0_-;\-* #,##0_-;_-* "-"??_-;_-@_-</c:formatCode>
                <c:ptCount val="1"/>
                <c:pt idx="0">
                  <c:v>26198.91</c:v>
                </c:pt>
              </c:numCache>
            </c:numRef>
          </c:val>
          <c:extLst>
            <c:ext xmlns:c16="http://schemas.microsoft.com/office/drawing/2014/chart" uri="{C3380CC4-5D6E-409C-BE32-E72D297353CC}">
              <c16:uniqueId val="{00000000-5C99-45E9-96A5-64635B18E1B0}"/>
            </c:ext>
          </c:extLst>
        </c:ser>
        <c:dLbls>
          <c:dLblPos val="ctr"/>
          <c:showLegendKey val="0"/>
          <c:showVal val="1"/>
          <c:showCatName val="0"/>
          <c:showSerName val="0"/>
          <c:showPercent val="0"/>
          <c:showBubbleSize val="0"/>
        </c:dLbls>
        <c:gapWidth val="150"/>
        <c:overlap val="100"/>
        <c:axId val="1304343727"/>
        <c:axId val="1304343247"/>
      </c:barChart>
      <c:catAx>
        <c:axId val="13043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43247"/>
        <c:crosses val="autoZero"/>
        <c:auto val="1"/>
        <c:lblAlgn val="ctr"/>
        <c:lblOffset val="100"/>
        <c:noMultiLvlLbl val="0"/>
      </c:catAx>
      <c:valAx>
        <c:axId val="1304343247"/>
        <c:scaling>
          <c:orientation val="minMax"/>
        </c:scaling>
        <c:delete val="1"/>
        <c:axPos val="l"/>
        <c:numFmt formatCode="_-* #,##0_-;\-* #,##0_-;_-* &quot;-&quot;??_-;_-@_-" sourceLinked="1"/>
        <c:majorTickMark val="none"/>
        <c:minorTickMark val="none"/>
        <c:tickLblPos val="nextTo"/>
        <c:crossAx val="130434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Dashbord.xlsx]paviot table !PivotTable10</c:name>
    <c:fmtId val="1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52158921311315E-2"/>
          <c:y val="0.28675829157718924"/>
          <c:w val="0.92116025937934232"/>
          <c:h val="0.66205631114292529"/>
        </c:manualLayout>
      </c:layout>
      <c:pie3DChart>
        <c:varyColors val="1"/>
        <c:ser>
          <c:idx val="0"/>
          <c:order val="0"/>
          <c:tx>
            <c:strRef>
              <c:f>'paviot table '!$AP$4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237-4785-8D62-4815E2CC143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237-4785-8D62-4815E2CC143B}"/>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37-4785-8D62-4815E2CC143B}"/>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37-4785-8D62-4815E2CC14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'paviot table '!$AO$5:$AO$7</c:f>
              <c:strCache>
                <c:ptCount val="2"/>
                <c:pt idx="0">
                  <c:v>افراد</c:v>
                </c:pt>
                <c:pt idx="1">
                  <c:v>شركة</c:v>
                </c:pt>
              </c:strCache>
            </c:strRef>
          </c:cat>
          <c:val>
            <c:numRef>
              <c:f>'paviot table '!$AP$5:$AP$7</c:f>
              <c:numCache>
                <c:formatCode>_-* #,##0_-;\-* #,##0_-;_-* "-"??_-;_-@_-</c:formatCode>
                <c:ptCount val="2"/>
                <c:pt idx="0">
                  <c:v>2</c:v>
                </c:pt>
                <c:pt idx="1">
                  <c:v>2</c:v>
                </c:pt>
              </c:numCache>
            </c:numRef>
          </c:val>
          <c:extLst>
            <c:ext xmlns:c16="http://schemas.microsoft.com/office/drawing/2014/chart" uri="{C3380CC4-5D6E-409C-BE32-E72D297353CC}">
              <c16:uniqueId val="{00000004-0237-4785-8D62-4815E2CC143B}"/>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1868766404199478"/>
          <c:y val="0.51644614516643361"/>
          <c:w val="0.13882867582728631"/>
          <c:h val="0.271029509161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33</xdr:col>
      <xdr:colOff>504825</xdr:colOff>
      <xdr:row>9</xdr:row>
      <xdr:rowOff>128587</xdr:rowOff>
    </xdr:from>
    <xdr:to>
      <xdr:col>37</xdr:col>
      <xdr:colOff>9525</xdr:colOff>
      <xdr:row>18</xdr:row>
      <xdr:rowOff>171450</xdr:rowOff>
    </xdr:to>
    <xdr:graphicFrame macro="">
      <xdr:nvGraphicFramePr>
        <xdr:cNvPr id="5" name="Chart 4">
          <a:extLst>
            <a:ext uri="{FF2B5EF4-FFF2-40B4-BE49-F238E27FC236}">
              <a16:creationId xmlns:a16="http://schemas.microsoft.com/office/drawing/2014/main" id="{31BFA2FB-FA21-4F80-BEF6-0A7DCD630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47624</xdr:rowOff>
    </xdr:from>
    <xdr:to>
      <xdr:col>29</xdr:col>
      <xdr:colOff>47625</xdr:colOff>
      <xdr:row>3</xdr:row>
      <xdr:rowOff>95249</xdr:rowOff>
    </xdr:to>
    <xdr:sp macro="" textlink="">
      <xdr:nvSpPr>
        <xdr:cNvPr id="3" name="Rectangle: Rounded Corners 2">
          <a:extLst>
            <a:ext uri="{FF2B5EF4-FFF2-40B4-BE49-F238E27FC236}">
              <a16:creationId xmlns:a16="http://schemas.microsoft.com/office/drawing/2014/main" id="{FC0C5096-A674-6C90-05F7-2CFA57149394}"/>
            </a:ext>
          </a:extLst>
        </xdr:cNvPr>
        <xdr:cNvSpPr/>
      </xdr:nvSpPr>
      <xdr:spPr>
        <a:xfrm>
          <a:off x="104775" y="47624"/>
          <a:ext cx="17621250" cy="619125"/>
        </a:xfrm>
        <a:prstGeom prst="roundRect">
          <a:avLst/>
        </a:prstGeom>
        <a:solidFill>
          <a:srgbClr val="1B2B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104773</xdr:colOff>
      <xdr:row>3</xdr:row>
      <xdr:rowOff>123825</xdr:rowOff>
    </xdr:from>
    <xdr:to>
      <xdr:col>3</xdr:col>
      <xdr:colOff>295275</xdr:colOff>
      <xdr:row>19</xdr:row>
      <xdr:rowOff>0</xdr:rowOff>
    </xdr:to>
    <xdr:sp macro="" textlink="">
      <xdr:nvSpPr>
        <xdr:cNvPr id="5" name="Rectangle: Rounded Corners 4">
          <a:extLst>
            <a:ext uri="{FF2B5EF4-FFF2-40B4-BE49-F238E27FC236}">
              <a16:creationId xmlns:a16="http://schemas.microsoft.com/office/drawing/2014/main" id="{063AB3FF-4232-12A1-D1DB-D5AA8E2A7F9A}"/>
            </a:ext>
          </a:extLst>
        </xdr:cNvPr>
        <xdr:cNvSpPr/>
      </xdr:nvSpPr>
      <xdr:spPr>
        <a:xfrm>
          <a:off x="104773" y="695325"/>
          <a:ext cx="2019302" cy="2924175"/>
        </a:xfrm>
        <a:prstGeom prst="roundRect">
          <a:avLst/>
        </a:prstGeom>
        <a:solidFill>
          <a:srgbClr val="1B2B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95249</xdr:colOff>
      <xdr:row>19</xdr:row>
      <xdr:rowOff>76200</xdr:rowOff>
    </xdr:from>
    <xdr:to>
      <xdr:col>3</xdr:col>
      <xdr:colOff>276225</xdr:colOff>
      <xdr:row>35</xdr:row>
      <xdr:rowOff>47625</xdr:rowOff>
    </xdr:to>
    <xdr:sp macro="" textlink="">
      <xdr:nvSpPr>
        <xdr:cNvPr id="6" name="Rectangle: Rounded Corners 5">
          <a:extLst>
            <a:ext uri="{FF2B5EF4-FFF2-40B4-BE49-F238E27FC236}">
              <a16:creationId xmlns:a16="http://schemas.microsoft.com/office/drawing/2014/main" id="{B8E5C3AB-4019-37DB-70B0-E408EED42394}"/>
            </a:ext>
          </a:extLst>
        </xdr:cNvPr>
        <xdr:cNvSpPr/>
      </xdr:nvSpPr>
      <xdr:spPr>
        <a:xfrm>
          <a:off x="95249" y="3695700"/>
          <a:ext cx="2009776" cy="3019425"/>
        </a:xfrm>
        <a:prstGeom prst="roundRect">
          <a:avLst/>
        </a:prstGeom>
        <a:solidFill>
          <a:srgbClr val="1B2B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419100</xdr:colOff>
      <xdr:row>3</xdr:row>
      <xdr:rowOff>133350</xdr:rowOff>
    </xdr:from>
    <xdr:to>
      <xdr:col>7</xdr:col>
      <xdr:colOff>304800</xdr:colOff>
      <xdr:row>8</xdr:row>
      <xdr:rowOff>85725</xdr:rowOff>
    </xdr:to>
    <xdr:sp macro="" textlink="">
      <xdr:nvSpPr>
        <xdr:cNvPr id="8" name="Rectangle: Rounded Corners 7">
          <a:extLst>
            <a:ext uri="{FF2B5EF4-FFF2-40B4-BE49-F238E27FC236}">
              <a16:creationId xmlns:a16="http://schemas.microsoft.com/office/drawing/2014/main" id="{706AF1D3-5DE0-73F5-814B-00A5B7914830}"/>
            </a:ext>
          </a:extLst>
        </xdr:cNvPr>
        <xdr:cNvSpPr/>
      </xdr:nvSpPr>
      <xdr:spPr>
        <a:xfrm>
          <a:off x="2247900" y="704850"/>
          <a:ext cx="2324100" cy="904875"/>
        </a:xfrm>
        <a:prstGeom prst="roundRect">
          <a:avLst/>
        </a:prstGeom>
        <a:solidFill>
          <a:srgbClr val="1B2B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Elephant" panose="02020904090505020303" pitchFamily="18" charset="0"/>
              <a:ea typeface="+mn-ea"/>
              <a:cs typeface="+mn-cs"/>
            </a:rPr>
            <a:t>Total Sales</a:t>
          </a:r>
        </a:p>
      </xdr:txBody>
    </xdr:sp>
    <xdr:clientData/>
  </xdr:twoCellAnchor>
  <xdr:twoCellAnchor>
    <xdr:from>
      <xdr:col>12</xdr:col>
      <xdr:colOff>411162</xdr:colOff>
      <xdr:row>3</xdr:row>
      <xdr:rowOff>133350</xdr:rowOff>
    </xdr:from>
    <xdr:to>
      <xdr:col>16</xdr:col>
      <xdr:colOff>296862</xdr:colOff>
      <xdr:row>8</xdr:row>
      <xdr:rowOff>85725</xdr:rowOff>
    </xdr:to>
    <xdr:sp macro="" textlink="">
      <xdr:nvSpPr>
        <xdr:cNvPr id="16" name="Rectangle: Rounded Corners 15">
          <a:extLst>
            <a:ext uri="{FF2B5EF4-FFF2-40B4-BE49-F238E27FC236}">
              <a16:creationId xmlns:a16="http://schemas.microsoft.com/office/drawing/2014/main" id="{9FA396DF-55F8-75C9-527F-23EFB2AD08A8}"/>
            </a:ext>
          </a:extLst>
        </xdr:cNvPr>
        <xdr:cNvSpPr/>
      </xdr:nvSpPr>
      <xdr:spPr>
        <a:xfrm>
          <a:off x="7726362" y="704850"/>
          <a:ext cx="2324100" cy="904875"/>
        </a:xfrm>
        <a:prstGeom prst="roundRect">
          <a:avLst/>
        </a:prstGeom>
        <a:solidFill>
          <a:srgbClr val="1B2B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Elephant" panose="02020904090505020303" pitchFamily="18" charset="0"/>
              <a:ea typeface="+mn-ea"/>
              <a:cs typeface="+mn-cs"/>
            </a:rPr>
            <a:t>Total</a:t>
          </a:r>
          <a:r>
            <a:rPr lang="en-US" sz="1600" b="1">
              <a:solidFill>
                <a:schemeClr val="lt1"/>
              </a:solidFill>
              <a:latin typeface="+mn-lt"/>
              <a:ea typeface="+mn-ea"/>
              <a:cs typeface="+mn-cs"/>
            </a:rPr>
            <a:t> </a:t>
          </a:r>
          <a:r>
            <a:rPr lang="en-US" sz="1600" b="1">
              <a:solidFill>
                <a:schemeClr val="lt1"/>
              </a:solidFill>
              <a:latin typeface="Elephant" panose="02020904090505020303" pitchFamily="18" charset="0"/>
              <a:ea typeface="+mn-ea"/>
              <a:cs typeface="+mn-cs"/>
            </a:rPr>
            <a:t>Orders</a:t>
          </a:r>
        </a:p>
      </xdr:txBody>
    </xdr:sp>
    <xdr:clientData/>
  </xdr:twoCellAnchor>
  <xdr:twoCellAnchor>
    <xdr:from>
      <xdr:col>21</xdr:col>
      <xdr:colOff>403225</xdr:colOff>
      <xdr:row>3</xdr:row>
      <xdr:rowOff>133350</xdr:rowOff>
    </xdr:from>
    <xdr:to>
      <xdr:col>25</xdr:col>
      <xdr:colOff>288925</xdr:colOff>
      <xdr:row>8</xdr:row>
      <xdr:rowOff>85725</xdr:rowOff>
    </xdr:to>
    <xdr:sp macro="" textlink="">
      <xdr:nvSpPr>
        <xdr:cNvPr id="17" name="Rectangle: Rounded Corners 16">
          <a:extLst>
            <a:ext uri="{FF2B5EF4-FFF2-40B4-BE49-F238E27FC236}">
              <a16:creationId xmlns:a16="http://schemas.microsoft.com/office/drawing/2014/main" id="{76A438AB-EE89-C082-1747-4104597AE9A4}"/>
            </a:ext>
          </a:extLst>
        </xdr:cNvPr>
        <xdr:cNvSpPr/>
      </xdr:nvSpPr>
      <xdr:spPr>
        <a:xfrm>
          <a:off x="13204825" y="704850"/>
          <a:ext cx="2324100" cy="904875"/>
        </a:xfrm>
        <a:prstGeom prst="roundRect">
          <a:avLst/>
        </a:prstGeom>
        <a:solidFill>
          <a:srgbClr val="1B2B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effectLst/>
              <a:latin typeface="Elephant" panose="02020904090505020303" pitchFamily="18" charset="0"/>
            </a:rPr>
            <a:t>Average selling price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lt1"/>
              </a:solidFill>
              <a:effectLst/>
              <a:latin typeface="+mn-lt"/>
              <a:ea typeface="+mn-ea"/>
              <a:cs typeface="+mn-cs"/>
            </a:rPr>
            <a:t>                              </a:t>
          </a:r>
          <a:endParaRPr lang="en-US" b="1">
            <a:effectLst/>
          </a:endParaRPr>
        </a:p>
      </xdr:txBody>
    </xdr:sp>
    <xdr:clientData/>
  </xdr:twoCellAnchor>
  <xdr:twoCellAnchor>
    <xdr:from>
      <xdr:col>26</xdr:col>
      <xdr:colOff>123825</xdr:colOff>
      <xdr:row>4</xdr:row>
      <xdr:rowOff>19050</xdr:rowOff>
    </xdr:from>
    <xdr:to>
      <xdr:col>29</xdr:col>
      <xdr:colOff>152400</xdr:colOff>
      <xdr:row>21</xdr:row>
      <xdr:rowOff>0</xdr:rowOff>
    </xdr:to>
    <xdr:sp macro="" textlink="">
      <xdr:nvSpPr>
        <xdr:cNvPr id="19" name="Rectangle: Rounded Corners 18">
          <a:extLst>
            <a:ext uri="{FF2B5EF4-FFF2-40B4-BE49-F238E27FC236}">
              <a16:creationId xmlns:a16="http://schemas.microsoft.com/office/drawing/2014/main" id="{E5D1D60E-094C-B0C0-878E-5D5064082BF9}"/>
            </a:ext>
          </a:extLst>
        </xdr:cNvPr>
        <xdr:cNvSpPr/>
      </xdr:nvSpPr>
      <xdr:spPr>
        <a:xfrm>
          <a:off x="15973425" y="781050"/>
          <a:ext cx="1857375" cy="3219450"/>
        </a:xfrm>
        <a:prstGeom prst="roundRect">
          <a:avLst/>
        </a:prstGeom>
        <a:solidFill>
          <a:srgbClr val="1B2B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chemeClr val="lt1"/>
              </a:solidFill>
              <a:latin typeface="Elephant" panose="02020904090505020303" pitchFamily="18" charset="0"/>
              <a:ea typeface="+mn-ea"/>
              <a:cs typeface="+mn-cs"/>
            </a:rPr>
            <a:t>On Time Delivery Rate</a:t>
          </a:r>
        </a:p>
      </xdr:txBody>
    </xdr:sp>
    <xdr:clientData/>
  </xdr:twoCellAnchor>
  <xdr:twoCellAnchor>
    <xdr:from>
      <xdr:col>4</xdr:col>
      <xdr:colOff>19049</xdr:colOff>
      <xdr:row>22</xdr:row>
      <xdr:rowOff>57150</xdr:rowOff>
    </xdr:from>
    <xdr:to>
      <xdr:col>11</xdr:col>
      <xdr:colOff>438150</xdr:colOff>
      <xdr:row>35</xdr:row>
      <xdr:rowOff>9527</xdr:rowOff>
    </xdr:to>
    <xdr:sp macro="" textlink="">
      <xdr:nvSpPr>
        <xdr:cNvPr id="21" name="Rectangle: Rounded Corners 20">
          <a:extLst>
            <a:ext uri="{FF2B5EF4-FFF2-40B4-BE49-F238E27FC236}">
              <a16:creationId xmlns:a16="http://schemas.microsoft.com/office/drawing/2014/main" id="{24CCBE74-6628-987B-D44D-1BF44342A34C}"/>
            </a:ext>
          </a:extLst>
        </xdr:cNvPr>
        <xdr:cNvSpPr/>
      </xdr:nvSpPr>
      <xdr:spPr>
        <a:xfrm>
          <a:off x="2457449" y="4248150"/>
          <a:ext cx="4686301" cy="24288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157161</xdr:colOff>
      <xdr:row>22</xdr:row>
      <xdr:rowOff>57150</xdr:rowOff>
    </xdr:from>
    <xdr:to>
      <xdr:col>19</xdr:col>
      <xdr:colOff>309562</xdr:colOff>
      <xdr:row>35</xdr:row>
      <xdr:rowOff>9527</xdr:rowOff>
    </xdr:to>
    <xdr:sp macro="" textlink="">
      <xdr:nvSpPr>
        <xdr:cNvPr id="22" name="Rectangle: Rounded Corners 21">
          <a:extLst>
            <a:ext uri="{FF2B5EF4-FFF2-40B4-BE49-F238E27FC236}">
              <a16:creationId xmlns:a16="http://schemas.microsoft.com/office/drawing/2014/main" id="{CC2EFC4F-1DDA-AA72-EA16-56C36229A956}"/>
            </a:ext>
          </a:extLst>
        </xdr:cNvPr>
        <xdr:cNvSpPr/>
      </xdr:nvSpPr>
      <xdr:spPr>
        <a:xfrm>
          <a:off x="7472361" y="4248150"/>
          <a:ext cx="4419601" cy="24288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c</a:t>
          </a:r>
        </a:p>
      </xdr:txBody>
    </xdr:sp>
    <xdr:clientData/>
  </xdr:twoCellAnchor>
  <xdr:twoCellAnchor>
    <xdr:from>
      <xdr:col>15</xdr:col>
      <xdr:colOff>371475</xdr:colOff>
      <xdr:row>8</xdr:row>
      <xdr:rowOff>180975</xdr:rowOff>
    </xdr:from>
    <xdr:to>
      <xdr:col>25</xdr:col>
      <xdr:colOff>295275</xdr:colOff>
      <xdr:row>21</xdr:row>
      <xdr:rowOff>133352</xdr:rowOff>
    </xdr:to>
    <xdr:sp macro="" textlink="">
      <xdr:nvSpPr>
        <xdr:cNvPr id="23" name="Rectangle: Rounded Corners 22">
          <a:extLst>
            <a:ext uri="{FF2B5EF4-FFF2-40B4-BE49-F238E27FC236}">
              <a16:creationId xmlns:a16="http://schemas.microsoft.com/office/drawing/2014/main" id="{FE7B8CEB-43A5-08AD-12F0-2A4058C19C9A}"/>
            </a:ext>
          </a:extLst>
        </xdr:cNvPr>
        <xdr:cNvSpPr/>
      </xdr:nvSpPr>
      <xdr:spPr>
        <a:xfrm>
          <a:off x="9515475" y="1704975"/>
          <a:ext cx="6019800" cy="24288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600074</xdr:colOff>
      <xdr:row>8</xdr:row>
      <xdr:rowOff>180975</xdr:rowOff>
    </xdr:from>
    <xdr:to>
      <xdr:col>14</xdr:col>
      <xdr:colOff>457200</xdr:colOff>
      <xdr:row>21</xdr:row>
      <xdr:rowOff>133352</xdr:rowOff>
    </xdr:to>
    <xdr:sp macro="" textlink="">
      <xdr:nvSpPr>
        <xdr:cNvPr id="24" name="Rectangle: Rounded Corners 23">
          <a:extLst>
            <a:ext uri="{FF2B5EF4-FFF2-40B4-BE49-F238E27FC236}">
              <a16:creationId xmlns:a16="http://schemas.microsoft.com/office/drawing/2014/main" id="{AF2A5126-7544-765A-8CA6-49135C41095E}"/>
            </a:ext>
          </a:extLst>
        </xdr:cNvPr>
        <xdr:cNvSpPr/>
      </xdr:nvSpPr>
      <xdr:spPr>
        <a:xfrm>
          <a:off x="2428874" y="1704975"/>
          <a:ext cx="6562726" cy="24288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xdr:colOff>
      <xdr:row>5</xdr:row>
      <xdr:rowOff>76199</xdr:rowOff>
    </xdr:from>
    <xdr:to>
      <xdr:col>6</xdr:col>
      <xdr:colOff>495300</xdr:colOff>
      <xdr:row>7</xdr:row>
      <xdr:rowOff>47625</xdr:rowOff>
    </xdr:to>
    <xdr:sp macro="" textlink="">
      <xdr:nvSpPr>
        <xdr:cNvPr id="9" name="TextBox 8">
          <a:extLst>
            <a:ext uri="{FF2B5EF4-FFF2-40B4-BE49-F238E27FC236}">
              <a16:creationId xmlns:a16="http://schemas.microsoft.com/office/drawing/2014/main" id="{ECD703CA-B483-E51A-463C-94C6E0E2E35A}"/>
            </a:ext>
          </a:extLst>
        </xdr:cNvPr>
        <xdr:cNvSpPr txBox="1"/>
      </xdr:nvSpPr>
      <xdr:spPr>
        <a:xfrm>
          <a:off x="2457450" y="1028699"/>
          <a:ext cx="1695450" cy="352426"/>
        </a:xfrm>
        <a:prstGeom prst="rect">
          <a:avLst/>
        </a:prstGeom>
        <a:solidFill>
          <a:srgbClr val="1B2B4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mn-lt"/>
              <a:ea typeface="+mn-ea"/>
              <a:cs typeface="+mn-cs"/>
            </a:rPr>
            <a:t>              </a:t>
          </a:r>
          <a:r>
            <a:rPr lang="en-US" sz="1600" b="1" i="0" u="none" strike="noStrike">
              <a:solidFill>
                <a:schemeClr val="bg2"/>
              </a:solidFill>
              <a:effectLst/>
              <a:latin typeface="+mn-lt"/>
              <a:ea typeface="+mn-ea"/>
              <a:cs typeface="+mn-cs"/>
            </a:rPr>
            <a:t>1,281,986 </a:t>
          </a:r>
          <a:endParaRPr lang="en-US" sz="1200" b="1">
            <a:solidFill>
              <a:schemeClr val="bg2"/>
            </a:solidFill>
          </a:endParaRPr>
        </a:p>
      </xdr:txBody>
    </xdr:sp>
    <xdr:clientData/>
  </xdr:twoCellAnchor>
  <xdr:twoCellAnchor>
    <xdr:from>
      <xdr:col>13</xdr:col>
      <xdr:colOff>28575</xdr:colOff>
      <xdr:row>5</xdr:row>
      <xdr:rowOff>85725</xdr:rowOff>
    </xdr:from>
    <xdr:to>
      <xdr:col>16</xdr:col>
      <xdr:colOff>38100</xdr:colOff>
      <xdr:row>7</xdr:row>
      <xdr:rowOff>114300</xdr:rowOff>
    </xdr:to>
    <xdr:sp macro="" textlink="">
      <xdr:nvSpPr>
        <xdr:cNvPr id="10" name="TextBox 9">
          <a:extLst>
            <a:ext uri="{FF2B5EF4-FFF2-40B4-BE49-F238E27FC236}">
              <a16:creationId xmlns:a16="http://schemas.microsoft.com/office/drawing/2014/main" id="{0F4A3726-C2E9-D317-42ED-C86B22FA90EF}"/>
            </a:ext>
          </a:extLst>
        </xdr:cNvPr>
        <xdr:cNvSpPr txBox="1"/>
      </xdr:nvSpPr>
      <xdr:spPr>
        <a:xfrm>
          <a:off x="7953375" y="1038225"/>
          <a:ext cx="1838325" cy="409575"/>
        </a:xfrm>
        <a:prstGeom prst="rect">
          <a:avLst/>
        </a:prstGeom>
        <a:solidFill>
          <a:srgbClr val="1B2B4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2"/>
              </a:solidFill>
              <a:effectLst/>
              <a:latin typeface="+mn-lt"/>
              <a:ea typeface="+mn-ea"/>
              <a:cs typeface="+mn-cs"/>
            </a:rPr>
            <a:t>126</a:t>
          </a:r>
          <a:r>
            <a:rPr lang="en-US" sz="1800" b="1">
              <a:solidFill>
                <a:schemeClr val="bg2"/>
              </a:solidFill>
              <a:effectLst/>
            </a:rPr>
            <a:t> </a:t>
          </a:r>
          <a:endParaRPr lang="en-US" sz="1800" b="1">
            <a:solidFill>
              <a:schemeClr val="bg2"/>
            </a:solidFill>
          </a:endParaRPr>
        </a:p>
      </xdr:txBody>
    </xdr:sp>
    <xdr:clientData/>
  </xdr:twoCellAnchor>
  <xdr:oneCellAnchor>
    <xdr:from>
      <xdr:col>22</xdr:col>
      <xdr:colOff>504825</xdr:colOff>
      <xdr:row>4</xdr:row>
      <xdr:rowOff>0</xdr:rowOff>
    </xdr:from>
    <xdr:ext cx="1495424" cy="666750"/>
    <xdr:sp macro="" textlink="">
      <xdr:nvSpPr>
        <xdr:cNvPr id="31" name="TextBox 30">
          <a:extLst>
            <a:ext uri="{FF2B5EF4-FFF2-40B4-BE49-F238E27FC236}">
              <a16:creationId xmlns:a16="http://schemas.microsoft.com/office/drawing/2014/main" id="{D8E5CF94-4C1F-0016-95EF-844341FA7E2B}"/>
            </a:ext>
          </a:extLst>
        </xdr:cNvPr>
        <xdr:cNvSpPr txBox="1"/>
      </xdr:nvSpPr>
      <xdr:spPr>
        <a:xfrm>
          <a:off x="13916025" y="762000"/>
          <a:ext cx="1495424" cy="666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i="0" u="none" strike="noStrike">
              <a:solidFill>
                <a:schemeClr val="tx1"/>
              </a:solidFill>
              <a:effectLst/>
              <a:latin typeface="+mn-lt"/>
              <a:ea typeface="+mn-ea"/>
              <a:cs typeface="+mn-cs"/>
            </a:rPr>
            <a:t>                            </a:t>
          </a:r>
          <a:r>
            <a:rPr lang="en-US" sz="1800" b="1" i="0" u="none" strike="noStrike">
              <a:solidFill>
                <a:schemeClr val="bg2"/>
              </a:solidFill>
              <a:effectLst/>
              <a:latin typeface="+mn-lt"/>
              <a:ea typeface="+mn-ea"/>
              <a:cs typeface="+mn-cs"/>
            </a:rPr>
            <a:t>10,256 </a:t>
          </a:r>
          <a:endParaRPr lang="en-US" sz="1600" b="1">
            <a:solidFill>
              <a:schemeClr val="bg2"/>
            </a:solidFill>
          </a:endParaRPr>
        </a:p>
      </xdr:txBody>
    </xdr:sp>
    <xdr:clientData/>
  </xdr:oneCellAnchor>
  <xdr:twoCellAnchor>
    <xdr:from>
      <xdr:col>6</xdr:col>
      <xdr:colOff>285751</xdr:colOff>
      <xdr:row>0</xdr:row>
      <xdr:rowOff>133350</xdr:rowOff>
    </xdr:from>
    <xdr:to>
      <xdr:col>21</xdr:col>
      <xdr:colOff>228601</xdr:colOff>
      <xdr:row>3</xdr:row>
      <xdr:rowOff>28575</xdr:rowOff>
    </xdr:to>
    <xdr:sp macro="" textlink="">
      <xdr:nvSpPr>
        <xdr:cNvPr id="32" name="TextBox 31">
          <a:extLst>
            <a:ext uri="{FF2B5EF4-FFF2-40B4-BE49-F238E27FC236}">
              <a16:creationId xmlns:a16="http://schemas.microsoft.com/office/drawing/2014/main" id="{A94E56AE-BF1A-BEAF-0D3E-76781B4DA2D5}"/>
            </a:ext>
          </a:extLst>
        </xdr:cNvPr>
        <xdr:cNvSpPr txBox="1"/>
      </xdr:nvSpPr>
      <xdr:spPr>
        <a:xfrm>
          <a:off x="3943351" y="133350"/>
          <a:ext cx="9086850" cy="466725"/>
        </a:xfrm>
        <a:prstGeom prst="rect">
          <a:avLst/>
        </a:prstGeom>
        <a:solidFill>
          <a:srgbClr val="1B2B4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2"/>
              </a:solidFill>
              <a:latin typeface="Elephant" panose="02020904090505020303" pitchFamily="18" charset="0"/>
            </a:rPr>
            <a:t>Misuo</a:t>
          </a:r>
          <a:r>
            <a:rPr lang="en-US" sz="2400" b="1" baseline="0">
              <a:solidFill>
                <a:schemeClr val="bg2"/>
              </a:solidFill>
              <a:latin typeface="Elephant" panose="02020904090505020303" pitchFamily="18" charset="0"/>
            </a:rPr>
            <a:t> Sales Dashbord (KPIS)</a:t>
          </a:r>
          <a:endParaRPr lang="en-US" sz="2400" b="1">
            <a:solidFill>
              <a:schemeClr val="bg2"/>
            </a:solidFill>
            <a:latin typeface="Elephant" panose="02020904090505020303" pitchFamily="18" charset="0"/>
          </a:endParaRPr>
        </a:p>
      </xdr:txBody>
    </xdr:sp>
    <xdr:clientData/>
  </xdr:twoCellAnchor>
  <xdr:twoCellAnchor editAs="oneCell">
    <xdr:from>
      <xdr:col>27</xdr:col>
      <xdr:colOff>361949</xdr:colOff>
      <xdr:row>0</xdr:row>
      <xdr:rowOff>0</xdr:rowOff>
    </xdr:from>
    <xdr:to>
      <xdr:col>28</xdr:col>
      <xdr:colOff>504824</xdr:colOff>
      <xdr:row>3</xdr:row>
      <xdr:rowOff>180975</xdr:rowOff>
    </xdr:to>
    <xdr:pic>
      <xdr:nvPicPr>
        <xdr:cNvPr id="34" name="Picture 33">
          <a:extLst>
            <a:ext uri="{FF2B5EF4-FFF2-40B4-BE49-F238E27FC236}">
              <a16:creationId xmlns:a16="http://schemas.microsoft.com/office/drawing/2014/main" id="{55C3508D-0B19-3D41-2CB2-51B0D9FB224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3333">
                      <a14:foregroundMark x1="48333" y1="28333" x2="45521" y2="38646"/>
                      <a14:foregroundMark x1="41944" y1="41400" x2="36458" y2="45625"/>
                      <a14:foregroundMark x1="45521" y1="38646" x2="43997" y2="39819"/>
                      <a14:foregroundMark x1="43512" y1="39417" x2="46875" y2="36458"/>
                      <a14:foregroundMark x1="42258" y1="40520" x2="42612" y2="40209"/>
                      <a14:foregroundMark x1="36458" y1="45625" x2="39885" y2="42609"/>
                      <a14:foregroundMark x1="46724" y1="30805" x2="46563" y2="24792"/>
                      <a14:foregroundMark x1="46875" y1="36458" x2="46778" y2="32820"/>
                      <a14:foregroundMark x1="46563" y1="24792" x2="37188" y2="17708"/>
                      <a14:foregroundMark x1="37188" y1="17708" x2="30833" y2="24271"/>
                      <a14:foregroundMark x1="30833" y1="24271" x2="40636" y2="31749"/>
                      <a14:foregroundMark x1="40727" y1="31624" x2="36979" y2="25313"/>
                      <a14:foregroundMark x1="14688" y1="64583" x2="19792" y2="64479"/>
                      <a14:foregroundMark x1="19797" y1="57826" x2="21399" y2="56173"/>
                      <a14:foregroundMark x1="15974" y1="61771" x2="15902" y2="61846"/>
                      <a14:foregroundMark x1="13854" y1="63958" x2="15974" y2="61771"/>
                      <a14:foregroundMark x1="23281" y1="53125" x2="22987" y2="52536"/>
                      <a14:foregroundMark x1="23424" y1="53411" x2="23281" y2="53125"/>
                      <a14:foregroundMark x1="15944" y1="60521" x2="16290" y2="59780"/>
                      <a14:foregroundMark x1="13854" y1="65000" x2="15944" y2="60521"/>
                      <a14:foregroundMark x1="16912" y1="53254" x2="15625" y2="50938"/>
                      <a14:foregroundMark x1="17745" y1="54754" x2="17446" y2="54216"/>
                      <a14:foregroundMark x1="31117" y1="51294" x2="32188" y2="49792"/>
                      <a14:foregroundMark x1="28082" y1="55549" x2="31038" y2="51404"/>
                      <a14:foregroundMark x1="26893" y1="57217" x2="27618" y2="56199"/>
                      <a14:foregroundMark x1="32188" y1="49792" x2="32563" y2="51345"/>
                      <a14:foregroundMark x1="42413" y1="62122" x2="50000" y2="65208"/>
                      <a14:foregroundMark x1="36437" y1="59692" x2="39410" y2="60901"/>
                      <a14:foregroundMark x1="50000" y1="65208" x2="49178" y2="57328"/>
                      <a14:foregroundMark x1="42697" y1="71012" x2="42217" y2="72419"/>
                      <a14:foregroundMark x1="45554" y1="62616" x2="44207" y2="66573"/>
                      <a14:foregroundMark x1="47717" y1="56263" x2="46745" y2="59117"/>
                      <a14:foregroundMark x1="53868" y1="74858" x2="54688" y2="75000"/>
                      <a14:foregroundMark x1="52721" y1="74659" x2="53820" y2="74849"/>
                      <a14:foregroundMark x1="42736" y1="76267" x2="40938" y2="76458"/>
                      <a14:foregroundMark x1="53720" y1="75103" x2="53057" y2="75173"/>
                      <a14:foregroundMark x1="54688" y1="75000" x2="53782" y2="75096"/>
                      <a14:foregroundMark x1="55698" y1="57863" x2="57211" y2="55957"/>
                      <a14:foregroundMark x1="48268" y1="67224" x2="53100" y2="61136"/>
                      <a14:foregroundMark x1="43463" y1="73277" x2="44711" y2="71705"/>
                      <a14:foregroundMark x1="41186" y1="76146" x2="41672" y2="75533"/>
                      <a14:foregroundMark x1="40938" y1="76458" x2="41186" y2="76146"/>
                      <a14:foregroundMark x1="48032" y1="56493" x2="45938" y2="57500"/>
                      <a14:foregroundMark x1="56543" y1="52401" x2="54166" y2="53544"/>
                      <a14:foregroundMark x1="48931" y1="56061" x2="56959" y2="52201"/>
                      <a14:foregroundMark x1="60095" y1="50693" x2="57112" y2="52127"/>
                      <a14:foregroundMark x1="55947" y1="58564" x2="59673" y2="58961"/>
                      <a14:foregroundMark x1="51261" y1="58066" x2="52040" y2="58149"/>
                      <a14:foregroundMark x1="45938" y1="57500" x2="50007" y2="57933"/>
                      <a14:foregroundMark x1="39392" y1="61478" x2="38646" y2="61563"/>
                      <a14:foregroundMark x1="43497" y1="61011" x2="42950" y2="61073"/>
                      <a14:foregroundMark x1="52684" y1="59965" x2="48450" y2="60447"/>
                      <a14:foregroundMark x1="57585" y1="59408" x2="56298" y2="59554"/>
                      <a14:foregroundMark x1="38646" y1="61563" x2="39392" y2="61491"/>
                      <a14:foregroundMark x1="63023" y1="59983" x2="68229" y2="62083"/>
                      <a14:foregroundMark x1="57857" y1="57900" x2="58990" y2="58357"/>
                      <a14:foregroundMark x1="56279" y1="57263" x2="57615" y2="57802"/>
                      <a14:foregroundMark x1="55833" y1="57083" x2="55652" y2="57010"/>
                      <a14:foregroundMark x1="66216" y1="56273" x2="67188" y2="56771"/>
                      <a14:foregroundMark x1="63319" y1="54788" x2="63904" y2="55088"/>
                      <a14:foregroundMark x1="54792" y1="50417" x2="57636" y2="51875"/>
                      <a14:foregroundMark x1="59018" y1="48393" x2="55625" y2="50938"/>
                      <a14:foregroundMark x1="58377" y1="48327" x2="57425" y2="52267"/>
                      <a14:foregroundMark x1="70521" y1="53646" x2="69688" y2="51146"/>
                      <a14:foregroundMark x1="70938" y1="52812" x2="67813" y2="52083"/>
                      <a14:foregroundMark x1="66042" y1="53333" x2="66250" y2="50625"/>
                      <a14:foregroundMark x1="68750" y1="52812" x2="69167" y2="50938"/>
                      <a14:foregroundMark x1="67188" y1="49583" x2="64479" y2="49896"/>
                      <a14:foregroundMark x1="71979" y1="52917" x2="71771" y2="49896"/>
                      <a14:foregroundMark x1="69792" y1="49896" x2="66771" y2="49375"/>
                      <a14:foregroundMark x1="69167" y1="52396" x2="68438" y2="56042"/>
                      <a14:foregroundMark x1="66250" y1="62708" x2="62500" y2="66250"/>
                      <a14:foregroundMark x1="63958" y1="61563" x2="63369" y2="61563"/>
                      <a14:foregroundMark x1="62083" y1="63229" x2="56771" y2="63750"/>
                      <a14:foregroundMark x1="57813" y1="63021" x2="57528" y2="63021"/>
                      <a14:foregroundMark x1="63958" y1="63958" x2="60521" y2="63542"/>
                      <a14:foregroundMark x1="78737" y1="52293" x2="78353" y2="52545"/>
                      <a14:foregroundMark x1="79688" y1="51667" x2="79183" y2="51999"/>
                      <a14:foregroundMark x1="75208" y1="50417" x2="74167" y2="52604"/>
                      <a14:foregroundMark x1="74896" y1="51667" x2="73021" y2="52917"/>
                      <a14:foregroundMark x1="72778" y1="54010" x2="72396" y2="54271"/>
                      <a14:foregroundMark x1="72856" y1="54109" x2="72500" y2="54583"/>
                      <a14:foregroundMark x1="73229" y1="56563" x2="72708" y2="59792"/>
                      <a14:foregroundMark x1="72708" y1="59792" x2="70729" y2="60313"/>
                      <a14:foregroundMark x1="70938" y1="58750" x2="73646" y2="60521"/>
                      <a14:foregroundMark x1="73646" y1="58333" x2="76006" y2="61480"/>
                      <a14:foregroundMark x1="76368" y1="63653" x2="76667" y2="64271"/>
                      <a14:foregroundMark x1="75208" y1="61250" x2="75910" y2="62703"/>
                      <a14:foregroundMark x1="75625" y1="63750" x2="76667" y2="64583"/>
                      <a14:foregroundMark x1="85410" y1="54131" x2="86042" y2="53333"/>
                      <a14:foregroundMark x1="93333" y1="58750" x2="85346" y2="55803"/>
                      <a14:foregroundMark x1="88542" y1="60729" x2="85137" y2="55962"/>
                      <a14:foregroundMark x1="85104" y1="56146" x2="86563" y2="55625"/>
                      <a14:foregroundMark x1="88542" y1="57292" x2="84896" y2="58021"/>
                      <a14:foregroundMark x1="85104" y1="59792" x2="84583" y2="60313"/>
                      <a14:foregroundMark x1="86146" y1="61354" x2="83438" y2="60833"/>
                      <a14:foregroundMark x1="84063" y1="61563" x2="84239" y2="61710"/>
                      <a14:foregroundMark x1="85417" y1="60521" x2="82604" y2="62813"/>
                      <a14:foregroundMark x1="84063" y1="63021" x2="82813" y2="61563"/>
                      <a14:foregroundMark x1="83333" y1="63542" x2="80833" y2="64271"/>
                      <a14:foregroundMark x1="81458" y1="63542" x2="80208" y2="64792"/>
                      <a14:foregroundMark x1="80104" y1="65313" x2="78125" y2="66042"/>
                      <a14:foregroundMark x1="80208" y1="65313" x2="78958" y2="65729"/>
                      <a14:foregroundMark x1="79896" y1="64792" x2="79896" y2="64792"/>
                      <a14:foregroundMark x1="80938" y1="64271" x2="82396" y2="64271"/>
                      <a14:foregroundMark x1="82917" y1="64271" x2="82917" y2="64271"/>
                      <a14:foregroundMark x1="80958" y1="51780" x2="80208" y2="49792"/>
                      <a14:foregroundMark x1="82873" y1="56853" x2="83073" y2="57383"/>
                      <a14:foregroundMark x1="83645" y1="58898" x2="83093" y2="57436"/>
                      <a14:foregroundMark x1="84375" y1="60833" x2="84053" y2="59981"/>
                      <a14:foregroundMark x1="80208" y1="49792" x2="74896" y2="49896"/>
                      <a14:foregroundMark x1="81146" y1="71667" x2="79688" y2="71667"/>
                      <a14:foregroundMark x1="81354" y1="71979" x2="80833" y2="73021"/>
                      <a14:foregroundMark x1="81875" y1="72500" x2="85833" y2="72396"/>
                      <a14:foregroundMark x1="84792" y1="72188" x2="86563" y2="72188"/>
                      <a14:foregroundMark x1="85417" y1="72500" x2="86354" y2="73958"/>
                      <a14:foregroundMark x1="86042" y1="73438" x2="86354" y2="75208"/>
                      <a14:foregroundMark x1="86563" y1="74479" x2="86563" y2="76667"/>
                      <a14:foregroundMark x1="87083" y1="75938" x2="86042" y2="77604"/>
                      <a14:foregroundMark x1="86354" y1="76979" x2="85104" y2="78438"/>
                      <a14:foregroundMark x1="86875" y1="77708" x2="84167" y2="79167"/>
                      <a14:foregroundMark x1="86042" y1="78854" x2="83125" y2="78438"/>
                      <a14:foregroundMark x1="85625" y1="77604" x2="80833" y2="77917"/>
                      <a14:foregroundMark x1="84167" y1="77188" x2="83125" y2="77917"/>
                      <a14:foregroundMark x1="86563" y1="78125" x2="80208" y2="76250"/>
                      <a14:foregroundMark x1="82604" y1="74479" x2="82396" y2="74375"/>
                      <a14:foregroundMark x1="81667" y1="73646" x2="81146" y2="73958"/>
                      <a14:foregroundMark x1="81354" y1="75625" x2="80417" y2="76979"/>
                      <a14:foregroundMark x1="81146" y1="78125" x2="76667" y2="79167"/>
                      <a14:foregroundMark x1="79688" y1="79167" x2="77188" y2="80104"/>
                      <a14:foregroundMark x1="78438" y1="78958" x2="72917" y2="79375"/>
                      <a14:foregroundMark x1="76458" y1="78646" x2="72708" y2="78958"/>
                      <a14:foregroundMark x1="79688" y1="78854" x2="73958" y2="79375"/>
                      <a14:foregroundMark x1="74167" y1="78438" x2="67292" y2="78646"/>
                      <a14:foregroundMark x1="73646" y1="78229" x2="68750" y2="78854"/>
                      <a14:foregroundMark x1="72188" y1="78438" x2="68229" y2="78438"/>
                      <a14:foregroundMark x1="71458" y1="78438" x2="65938" y2="78438"/>
                      <a14:foregroundMark x1="67292" y1="77708" x2="63229" y2="78229"/>
                      <a14:foregroundMark x1="66042" y1="78125" x2="61250" y2="78229"/>
                      <a14:foregroundMark x1="66979" y1="78438" x2="57813" y2="78438"/>
                      <a14:foregroundMark x1="63021" y1="78229" x2="53333" y2="78958"/>
                      <a14:foregroundMark x1="58542" y1="79167" x2="48438" y2="79896"/>
                      <a14:foregroundMark x1="52144" y1="79375" x2="44167" y2="79375"/>
                      <a14:foregroundMark x1="57292" y1="79375" x2="52147" y2="79375"/>
                      <a14:foregroundMark x1="45162" y1="78331" x2="42500" y2="78438"/>
                      <a14:foregroundMark x1="40829" y1="77712" x2="40729" y2="77708"/>
                      <a14:foregroundMark x1="40728" y1="77698" x2="39688" y2="77708"/>
                      <a14:foregroundMark x1="43914" y1="78153" x2="38958" y2="78229"/>
                      <a14:foregroundMark x1="65729" y1="72917" x2="65938" y2="74688"/>
                      <a14:foregroundMark x1="66250" y1="74375" x2="66979" y2="75729"/>
                      <a14:foregroundMark x1="67500" y1="74688" x2="67292" y2="75417"/>
                      <a14:foregroundMark x1="38229" y1="75208" x2="38229" y2="75208"/>
                      <a14:foregroundMark x1="38229" y1="75000" x2="38229" y2="75000"/>
                      <a14:foregroundMark x1="38229" y1="75000" x2="38229" y2="75000"/>
                      <a14:foregroundMark x1="38229" y1="75000" x2="38229" y2="75000"/>
                      <a14:foregroundMark x1="38021" y1="75000" x2="38438" y2="74375"/>
                      <a14:foregroundMark x1="38438" y1="73750" x2="37500" y2="76458"/>
                      <a14:foregroundMark x1="37500" y1="74167" x2="37917" y2="74167"/>
                      <a14:foregroundMark x1="38646" y1="73021" x2="38750" y2="75625"/>
                      <a14:foregroundMark x1="38229" y1="78229" x2="36979" y2="78646"/>
                      <a14:foregroundMark x1="36667" y1="78646" x2="34688" y2="79167"/>
                      <a14:foregroundMark x1="32500" y1="79167" x2="31563" y2="79167"/>
                      <a14:foregroundMark x1="34688" y1="79167" x2="28542" y2="78854"/>
                      <a14:foregroundMark x1="29583" y1="78125" x2="24063" y2="78229"/>
                      <a14:foregroundMark x1="26979" y1="78229" x2="20104" y2="78125"/>
                      <a14:foregroundMark x1="23750" y1="77708" x2="19063" y2="77708"/>
                      <a14:foregroundMark x1="19063" y1="77708" x2="18125" y2="77708"/>
                      <a14:foregroundMark x1="24792" y1="77708" x2="17604" y2="77917"/>
                      <a14:foregroundMark x1="20417" y1="76979" x2="19896" y2="74479"/>
                      <a14:foregroundMark x1="19792" y1="74375" x2="19792" y2="74688"/>
                      <a14:foregroundMark x1="19792" y1="73958" x2="19792" y2="73438"/>
                      <a14:foregroundMark x1="19375" y1="72500" x2="19167" y2="73229"/>
                      <a14:foregroundMark x1="17083" y1="72396" x2="14167" y2="72500"/>
                      <a14:foregroundMark x1="13646" y1="72396" x2="15104" y2="73229"/>
                      <a14:foregroundMark x1="16354" y1="71250" x2="15937" y2="73438"/>
                      <a14:foregroundMark x1="16354" y1="76250" x2="18854" y2="78438"/>
                      <a14:foregroundMark x1="23333" y1="79583" x2="20625" y2="81146"/>
                      <a14:foregroundMark x1="19583" y1="81458" x2="19583" y2="81458"/>
                      <a14:foregroundMark x1="18854" y1="81875" x2="17917" y2="82083"/>
                      <a14:foregroundMark x1="17083" y1="82188" x2="17083" y2="82188"/>
                      <a14:foregroundMark x1="16146" y1="82083" x2="16667" y2="82083"/>
                      <a14:foregroundMark x1="37708" y1="82188" x2="37708" y2="82188"/>
                      <a14:foregroundMark x1="36771" y1="82917" x2="35208" y2="83438"/>
                      <a14:foregroundMark x1="39271" y1="83333" x2="41667" y2="83438"/>
                      <a14:foregroundMark x1="37708" y1="83125" x2="37708" y2="83125"/>
                      <a14:foregroundMark x1="38229" y1="82396" x2="38750" y2="82396"/>
                      <a14:foregroundMark x1="39167" y1="82396" x2="39167" y2="82396"/>
                      <a14:foregroundMark x1="39167" y1="82396" x2="39167" y2="82396"/>
                      <a14:foregroundMark x1="36771" y1="57500" x2="36771" y2="57500"/>
                      <a14:foregroundMark x1="37708" y1="58021" x2="37708" y2="58021"/>
                      <a14:foregroundMark x1="37708" y1="56042" x2="37708" y2="53125"/>
                      <a14:foregroundMark x1="37708" y1="52917" x2="37917" y2="51354"/>
                      <a14:foregroundMark x1="38438" y1="49167" x2="38021" y2="50313"/>
                      <a14:foregroundMark x1="51146" y1="51146" x2="50625" y2="52083"/>
                      <a14:foregroundMark x1="49896" y1="50313" x2="49896" y2="50313"/>
                      <a14:foregroundMark x1="48333" y1="49583" x2="45729" y2="49375"/>
                      <a14:foregroundMark x1="45417" y1="49375" x2="44688" y2="50625"/>
                      <a14:foregroundMark x1="44479" y1="51354" x2="44479" y2="51354"/>
                      <a14:foregroundMark x1="44896" y1="52292" x2="45625" y2="53125"/>
                      <a14:foregroundMark x1="28750" y1="54375" x2="28854" y2="56563"/>
                      <a14:foregroundMark x1="29479" y1="58125" x2="29479" y2="58660"/>
                      <a14:foregroundMark x1="30000" y1="61042" x2="30000" y2="61563"/>
                      <a14:foregroundMark x1="30000" y1="62292" x2="30000" y2="62292"/>
                      <a14:foregroundMark x1="30208" y1="63333" x2="30312" y2="64792"/>
                      <a14:foregroundMark x1="27604" y1="52812" x2="27604" y2="52812"/>
                      <a14:foregroundMark x1="26563" y1="54271" x2="26563" y2="54271"/>
                      <a14:foregroundMark x1="20104" y1="63958" x2="20104" y2="63958"/>
                      <a14:foregroundMark x1="19792" y1="56563" x2="19792" y2="56563"/>
                      <a14:foregroundMark x1="18798" y1="54529" x2="18333" y2="53542"/>
                      <a14:foregroundMark x1="53778" y1="30970" x2="53333" y2="31563"/>
                      <a14:foregroundMark x1="54271" y1="30312" x2="54037" y2="30624"/>
                      <a14:foregroundMark x1="53333" y1="32813" x2="53333" y2="32813"/>
                      <a14:foregroundMark x1="55625" y1="33438" x2="56563" y2="34063"/>
                      <a14:foregroundMark x1="56875" y1="34063" x2="56875" y2="34063"/>
                      <a14:foregroundMark x1="49896" y1="27813" x2="49896" y2="27813"/>
                      <a14:foregroundMark x1="39271" y1="82813" x2="39271" y2="82813"/>
                      <a14:foregroundMark x1="37500" y1="82083" x2="37500" y2="82083"/>
                      <a14:foregroundMark x1="36771" y1="82083" x2="36771" y2="82083"/>
                      <a14:foregroundMark x1="35729" y1="82083" x2="35729" y2="82083"/>
                      <a14:foregroundMark x1="38438" y1="80417" x2="38438" y2="80417"/>
                      <a14:foregroundMark x1="34792" y1="81146" x2="34792" y2="81146"/>
                      <a14:foregroundMark x1="39271" y1="83125" x2="39271" y2="83125"/>
                      <a14:foregroundMark x1="63750" y1="28229" x2="63750" y2="28229"/>
                      <a14:foregroundMark x1="61771" y1="25521" x2="61563" y2="26042"/>
                      <a14:foregroundMark x1="65208" y1="23854" x2="67500" y2="26250"/>
                      <a14:foregroundMark x1="65000" y1="26563" x2="61354" y2="25625"/>
                      <a14:foregroundMark x1="60313" y1="25521" x2="60313" y2="26042"/>
                      <a14:foregroundMark x1="59583" y1="25833" x2="59375" y2="26563"/>
                      <a14:foregroundMark x1="58854" y1="26354" x2="57604" y2="27604"/>
                      <a14:foregroundMark x1="57500" y1="27083" x2="57500" y2="27083"/>
                      <a14:foregroundMark x1="57292" y1="27083" x2="57292" y2="27083"/>
                      <a14:foregroundMark x1="58125" y1="25521" x2="58125" y2="25521"/>
                      <a14:foregroundMark x1="58021" y1="24063" x2="58021" y2="24063"/>
                      <a14:foregroundMark x1="57813" y1="25521" x2="57604" y2="26354"/>
                      <a14:foregroundMark x1="57500" y1="26771" x2="57500" y2="26771"/>
                      <a14:foregroundMark x1="57500" y1="27604" x2="57500" y2="30000"/>
                      <a14:foregroundMark x1="58333" y1="31563" x2="58750" y2="32500"/>
                      <a14:foregroundMark x1="57604" y1="30729" x2="59271" y2="31042"/>
                      <a14:foregroundMark x1="57500" y1="29063" x2="57813" y2="30833"/>
                      <a14:foregroundMark x1="56563" y1="27292" x2="58125" y2="29792"/>
                      <a14:foregroundMark x1="57083" y1="26979" x2="60104" y2="25104"/>
                      <a14:foregroundMark x1="60313" y1="23333" x2="58854" y2="23333"/>
                      <a14:foregroundMark x1="60521" y1="20417" x2="58125" y2="20625"/>
                      <a14:foregroundMark x1="60000" y1="21146" x2="57500" y2="23854"/>
                      <a14:foregroundMark x1="56875" y1="24583" x2="55833" y2="28333"/>
                      <a14:foregroundMark x1="55625" y1="27813" x2="55833" y2="33438"/>
                      <a14:foregroundMark x1="56354" y1="30312" x2="56875" y2="31979"/>
                      <a14:foregroundMark x1="55521" y1="28021" x2="57604" y2="28750"/>
                      <a14:foregroundMark x1="58542" y1="28854" x2="57083" y2="26250"/>
                      <a14:foregroundMark x1="59583" y1="23750" x2="59271" y2="23021"/>
                      <a14:foregroundMark x1="60521" y1="22604" x2="61042" y2="23021"/>
                      <a14:foregroundMark x1="62292" y1="23333" x2="60833" y2="23542"/>
                      <a14:foregroundMark x1="64063" y1="24271" x2="64063" y2="24271"/>
                      <a14:foregroundMark x1="64583" y1="24271" x2="64063" y2="23854"/>
                      <a14:foregroundMark x1="65000" y1="25625" x2="62292" y2="23542"/>
                      <a14:foregroundMark x1="63958" y1="25521" x2="62500" y2="23750"/>
                      <a14:foregroundMark x1="62292" y1="25000" x2="62083" y2="26354"/>
                      <a14:foregroundMark x1="49063" y1="79896" x2="49063" y2="79896"/>
                      <a14:foregroundMark x1="51146" y1="79688" x2="52292" y2="79688"/>
                      <a14:foregroundMark x1="52292" y1="78958" x2="44479" y2="78438"/>
                      <a14:foregroundMark x1="52917" y1="78854" x2="49688" y2="78438"/>
                      <a14:foregroundMark x1="59583" y1="77396" x2="55104" y2="77708"/>
                      <a14:foregroundMark x1="59375" y1="77708" x2="40000" y2="78646"/>
                      <a14:foregroundMark x1="43229" y1="78229" x2="53333" y2="77917"/>
                      <a14:foregroundMark x1="53333" y1="77917" x2="40417" y2="77708"/>
                      <a14:foregroundMark x1="38958" y1="80938" x2="37188" y2="81146"/>
                      <a14:foregroundMark x1="20313" y1="56354" x2="23333" y2="61979"/>
                      <a14:foregroundMark x1="19792" y1="56354" x2="22083" y2="60313"/>
                      <a14:foregroundMark x1="21354" y1="59062" x2="23021" y2="61042"/>
                      <a14:foregroundMark x1="78438" y1="50417" x2="84167" y2="52083"/>
                      <a14:foregroundMark x1="81667" y1="49688" x2="85417" y2="52396"/>
                      <a14:foregroundMark x1="82813" y1="50833" x2="84583" y2="57500"/>
                      <a14:foregroundMark x1="84063" y1="55833" x2="85104" y2="58542"/>
                      <a14:foregroundMark x1="85625" y1="59271" x2="85625" y2="59271"/>
                      <a14:foregroundMark x1="74896" y1="52917" x2="73646" y2="56146"/>
                      <a14:foregroundMark x1="74167" y1="53125" x2="73958" y2="55625"/>
                      <a14:foregroundMark x1="73646" y1="53854" x2="72917" y2="55521"/>
                      <a14:foregroundMark x1="73438" y1="54271" x2="74479" y2="62292"/>
                      <a14:foregroundMark x1="80625" y1="64583" x2="80938" y2="64063"/>
                      <a14:foregroundMark x1="76875" y1="63542" x2="77604" y2="63542"/>
                      <a14:foregroundMark x1="78958" y1="63542" x2="79375" y2="63750"/>
                      <a14:backgroundMark x1="21354" y1="68958" x2="21354" y2="68958"/>
                      <a14:backgroundMark x1="22396" y1="69479" x2="25625" y2="70417"/>
                      <a14:backgroundMark x1="45625" y1="69792" x2="45625" y2="69792"/>
                      <a14:backgroundMark x1="47708" y1="70729" x2="46458" y2="71458"/>
                      <a14:backgroundMark x1="44479" y1="71458" x2="44479" y2="71458"/>
                      <a14:backgroundMark x1="51146" y1="71146" x2="44688" y2="71146"/>
                      <a14:backgroundMark x1="44896" y1="70000" x2="43646" y2="70208"/>
                      <a14:backgroundMark x1="46458" y1="69271" x2="41979" y2="70000"/>
                      <a14:backgroundMark x1="44896" y1="68958" x2="40938" y2="68229"/>
                      <a14:backgroundMark x1="41250" y1="67708" x2="52292" y2="69479"/>
                      <a14:backgroundMark x1="52292" y1="69479" x2="66563" y2="68646"/>
                      <a14:backgroundMark x1="66563" y1="68646" x2="66458" y2="68542"/>
                      <a14:backgroundMark x1="50938" y1="68958" x2="47604" y2="72500"/>
                      <a14:backgroundMark x1="52604" y1="74479" x2="47083" y2="74688"/>
                      <a14:backgroundMark x1="48854" y1="75000" x2="45417" y2="74688"/>
                      <a14:backgroundMark x1="43958" y1="74167" x2="41667" y2="73646"/>
                      <a14:backgroundMark x1="43438" y1="73750" x2="43438" y2="73750"/>
                      <a14:backgroundMark x1="42500" y1="73229" x2="43125" y2="74479"/>
                      <a14:backgroundMark x1="42396" y1="76146" x2="42396" y2="76146"/>
                      <a14:backgroundMark x1="43958" y1="74688" x2="44688" y2="74896"/>
                      <a14:backgroundMark x1="49375" y1="75625" x2="49896" y2="75208"/>
                      <a14:backgroundMark x1="42396" y1="34479" x2="41458" y2="36458"/>
                      <a14:backgroundMark x1="43125" y1="34688" x2="41979" y2="36771"/>
                      <a14:backgroundMark x1="44375" y1="34792" x2="43229" y2="35208"/>
                      <a14:backgroundMark x1="44688" y1="33542" x2="43438" y2="35000"/>
                      <a14:backgroundMark x1="44167" y1="33438" x2="43229" y2="34479"/>
                      <a14:backgroundMark x1="45104" y1="31563" x2="44375" y2="32708"/>
                      <a14:backgroundMark x1="45625" y1="31250" x2="45104" y2="32188"/>
                      <a14:backgroundMark x1="45625" y1="30000" x2="44688" y2="31042"/>
                      <a14:backgroundMark x1="44896" y1="30312" x2="44375" y2="31042"/>
                      <a14:backgroundMark x1="45104" y1="30521" x2="45417" y2="30208"/>
                      <a14:backgroundMark x1="45938" y1="27292" x2="45208" y2="28229"/>
                      <a14:backgroundMark x1="44896" y1="27604" x2="44375" y2="28333"/>
                      <a14:backgroundMark x1="44479" y1="29479" x2="35208" y2="42188"/>
                      <a14:backgroundMark x1="42708" y1="38750" x2="41458" y2="39896"/>
                      <a14:backgroundMark x1="41458" y1="38646" x2="40208" y2="39479"/>
                      <a14:backgroundMark x1="41667" y1="38021" x2="39479" y2="39271"/>
                      <a14:backgroundMark x1="40938" y1="38958" x2="39896" y2="40000"/>
                      <a14:backgroundMark x1="42396" y1="39479" x2="40208" y2="39271"/>
                      <a14:backgroundMark x1="41458" y1="38750" x2="40625" y2="40000"/>
                      <a14:backgroundMark x1="41458" y1="39688" x2="36667" y2="42500"/>
                      <a14:backgroundMark x1="50313" y1="35938" x2="49167" y2="38229"/>
                      <a14:backgroundMark x1="50313" y1="36979" x2="50104" y2="42917"/>
                      <a14:backgroundMark x1="49375" y1="41667" x2="46875" y2="42396"/>
                      <a14:backgroundMark x1="48125" y1="42188" x2="47917" y2="43125"/>
                      <a14:backgroundMark x1="53646" y1="43125" x2="57604" y2="46458"/>
                      <a14:backgroundMark x1="57604" y1="46146" x2="60000" y2="47188"/>
                      <a14:backgroundMark x1="58542" y1="46667" x2="60000" y2="47188"/>
                      <a14:backgroundMark x1="63542" y1="48333" x2="63958" y2="47604"/>
                      <a14:backgroundMark x1="57660" y1="24063" x2="58084" y2="24851"/>
                      <a14:backgroundMark x1="63021" y1="22604" x2="64286" y2="24018"/>
                      <a14:backgroundMark x1="43438" y1="75938" x2="43702" y2="76277"/>
                      <a14:backgroundMark x1="53232" y1="76478" x2="53854" y2="74896"/>
                      <a14:backgroundMark x1="21563" y1="50313" x2="21875" y2="53333"/>
                      <a14:backgroundMark x1="22292" y1="53854" x2="22292" y2="53854"/>
                      <a14:backgroundMark x1="22604" y1="54792" x2="22604" y2="54792"/>
                      <a14:backgroundMark x1="23542" y1="53333" x2="24271" y2="54271"/>
                      <a14:backgroundMark x1="25104" y1="53542" x2="24271" y2="52812"/>
                      <a14:backgroundMark x1="22604" y1="50104" x2="22813" y2="50833"/>
                      <a14:backgroundMark x1="23333" y1="53125" x2="23333" y2="53125"/>
                      <a14:backgroundMark x1="22083" y1="49896" x2="22396" y2="52604"/>
                      <a14:backgroundMark x1="22083" y1="54583" x2="22083" y2="55104"/>
                      <a14:backgroundMark x1="22083" y1="55313" x2="22292" y2="55833"/>
                      <a14:backgroundMark x1="17813" y1="60521" x2="17813" y2="60521"/>
                      <a14:backgroundMark x1="17917" y1="61771" x2="17917" y2="61771"/>
                      <a14:backgroundMark x1="18125" y1="60729" x2="18333" y2="60104"/>
                      <a14:backgroundMark x1="18333" y1="59792" x2="19896" y2="62500"/>
                      <a14:backgroundMark x1="17604" y1="57813" x2="18125" y2="59792"/>
                      <a14:backgroundMark x1="17604" y1="56563" x2="18854" y2="61042"/>
                      <a14:backgroundMark x1="17083" y1="54896" x2="17604" y2="57292"/>
                      <a14:backgroundMark x1="17604" y1="56875" x2="17396" y2="54063"/>
                      <a14:backgroundMark x1="17604" y1="55625" x2="17604" y2="53542"/>
                      <a14:backgroundMark x1="25313" y1="60833" x2="27292" y2="59271"/>
                      <a14:backgroundMark x1="26354" y1="62083" x2="27813" y2="57500"/>
                      <a14:backgroundMark x1="27500" y1="61771" x2="27292" y2="58021"/>
                      <a14:backgroundMark x1="26979" y1="60104" x2="27813" y2="55625"/>
                      <a14:backgroundMark x1="27292" y1="58542" x2="26354" y2="57500"/>
                      <a14:backgroundMark x1="27500" y1="58542" x2="26042" y2="62708"/>
                      <a14:backgroundMark x1="27292" y1="58333" x2="26979" y2="60104"/>
                      <a14:backgroundMark x1="28229" y1="57500" x2="26563" y2="58750"/>
                      <a14:backgroundMark x1="27604" y1="57500" x2="25313" y2="61563"/>
                      <a14:backgroundMark x1="26563" y1="59792" x2="25313" y2="62500"/>
                      <a14:backgroundMark x1="26563" y1="61042" x2="25313" y2="61354"/>
                      <a14:backgroundMark x1="26979" y1="59792" x2="25104" y2="62500"/>
                      <a14:backgroundMark x1="25833" y1="61354" x2="23750" y2="65000"/>
                      <a14:backgroundMark x1="24792" y1="64792" x2="23542" y2="66250"/>
                      <a14:backgroundMark x1="34479" y1="54583" x2="34792" y2="63229"/>
                      <a14:backgroundMark x1="33438" y1="55313" x2="34479" y2="61979"/>
                      <a14:backgroundMark x1="33542" y1="52292" x2="33438" y2="56771"/>
                      <a14:backgroundMark x1="32813" y1="51354" x2="32708" y2="54271"/>
                      <a14:backgroundMark x1="41875" y1="52917" x2="40208" y2="58125"/>
                      <a14:backgroundMark x1="41458" y1="51875" x2="41146" y2="62083"/>
                      <a14:backgroundMark x1="45625" y1="60729" x2="46458" y2="61563"/>
                      <a14:backgroundMark x1="43438" y1="58750" x2="47708" y2="62083"/>
                      <a14:backgroundMark x1="52396" y1="53854" x2="55833" y2="63542"/>
                      <a14:backgroundMark x1="47083" y1="53646" x2="52083" y2="57292"/>
                      <a14:backgroundMark x1="61771" y1="53125" x2="61042" y2="58125"/>
                      <a14:backgroundMark x1="61042" y1="51875" x2="61771" y2="59583"/>
                      <a14:backgroundMark x1="62083" y1="49688" x2="60521" y2="58125"/>
                      <a14:backgroundMark x1="59792" y1="52812" x2="59375" y2="58021"/>
                      <a14:backgroundMark x1="59062" y1="53542" x2="58021" y2="57604"/>
                      <a14:backgroundMark x1="59375" y1="54271" x2="62292" y2="60313"/>
                      <a14:backgroundMark x1="63750" y1="55104" x2="64271" y2="60104"/>
                      <a14:backgroundMark x1="64479" y1="55833" x2="63958" y2="61042"/>
                      <a14:backgroundMark x1="61979" y1="60000" x2="61250" y2="62500"/>
                      <a14:backgroundMark x1="59271" y1="58333" x2="59583" y2="61979"/>
                      <a14:backgroundMark x1="58333" y1="52396" x2="57813" y2="56042"/>
                      <a14:backgroundMark x1="58854" y1="51875" x2="58854" y2="54063"/>
                      <a14:backgroundMark x1="58854" y1="51667" x2="61771" y2="57813"/>
                      <a14:backgroundMark x1="75788" y1="55777" x2="77917" y2="59375"/>
                      <a14:backgroundMark x1="78125" y1="55104" x2="81354" y2="56354"/>
                      <a14:backgroundMark x1="81667" y1="54375" x2="80833" y2="55313"/>
                      <a14:backgroundMark x1="78646" y1="52917" x2="75891" y2="53764"/>
                      <a14:backgroundMark x1="81875" y1="56146" x2="80625" y2="57604"/>
                      <a14:backgroundMark x1="78229" y1="59062" x2="77708" y2="59375"/>
                      <a14:backgroundMark x1="79375" y1="60729" x2="83854" y2="60313"/>
                      <a14:backgroundMark x1="83054" y1="56204" x2="83125" y2="55833"/>
                      <a14:backgroundMark x1="82604" y1="58542" x2="82805" y2="57498"/>
                      <a14:backgroundMark x1="82088" y1="49289" x2="82083" y2="48854"/>
                      <a14:backgroundMark x1="82188" y1="57604" x2="82160" y2="55276"/>
                      <a14:backgroundMark x1="78646" y1="52812" x2="82456" y2="56423"/>
                      <a14:backgroundMark x1="80917" y1="52853" x2="80625" y2="59062"/>
                      <a14:backgroundMark x1="78125" y1="55313" x2="78125" y2="58021"/>
                      <a14:backgroundMark x1="77917" y1="56354" x2="77917" y2="59583"/>
                      <a14:backgroundMark x1="77917" y1="59792" x2="77604" y2="63750"/>
                    </a14:backgroundRemoval>
                  </a14:imgEffect>
                </a14:imgLayer>
              </a14:imgProps>
            </a:ext>
            <a:ext uri="{28A0092B-C50C-407E-A947-70E740481C1C}">
              <a14:useLocalDpi xmlns:a14="http://schemas.microsoft.com/office/drawing/2010/main" val="0"/>
            </a:ext>
          </a:extLst>
        </a:blip>
        <a:stretch>
          <a:fillRect/>
        </a:stretch>
      </xdr:blipFill>
      <xdr:spPr>
        <a:xfrm>
          <a:off x="16821149" y="0"/>
          <a:ext cx="752475" cy="752475"/>
        </a:xfrm>
        <a:prstGeom prst="rect">
          <a:avLst/>
        </a:prstGeom>
        <a:ln>
          <a:noFill/>
        </a:ln>
      </xdr:spPr>
    </xdr:pic>
    <xdr:clientData/>
  </xdr:twoCellAnchor>
  <xdr:twoCellAnchor editAs="oneCell">
    <xdr:from>
      <xdr:col>0</xdr:col>
      <xdr:colOff>95249</xdr:colOff>
      <xdr:row>0</xdr:row>
      <xdr:rowOff>0</xdr:rowOff>
    </xdr:from>
    <xdr:to>
      <xdr:col>1</xdr:col>
      <xdr:colOff>238124</xdr:colOff>
      <xdr:row>3</xdr:row>
      <xdr:rowOff>180975</xdr:rowOff>
    </xdr:to>
    <xdr:pic>
      <xdr:nvPicPr>
        <xdr:cNvPr id="35" name="Picture 34">
          <a:extLst>
            <a:ext uri="{FF2B5EF4-FFF2-40B4-BE49-F238E27FC236}">
              <a16:creationId xmlns:a16="http://schemas.microsoft.com/office/drawing/2014/main" id="{B149268B-2CFC-06BA-C48D-0A47CDDB3CDD}"/>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3333">
                      <a14:foregroundMark x1="48333" y1="28333" x2="45521" y2="38646"/>
                      <a14:foregroundMark x1="41944" y1="41400" x2="36458" y2="45625"/>
                      <a14:foregroundMark x1="45521" y1="38646" x2="43997" y2="39819"/>
                      <a14:foregroundMark x1="43512" y1="39417" x2="46875" y2="36458"/>
                      <a14:foregroundMark x1="42258" y1="40520" x2="42612" y2="40209"/>
                      <a14:foregroundMark x1="36458" y1="45625" x2="39885" y2="42609"/>
                      <a14:foregroundMark x1="46724" y1="30805" x2="46563" y2="24792"/>
                      <a14:foregroundMark x1="46875" y1="36458" x2="46778" y2="32820"/>
                      <a14:foregroundMark x1="46563" y1="24792" x2="37188" y2="17708"/>
                      <a14:foregroundMark x1="37188" y1="17708" x2="30833" y2="24271"/>
                      <a14:foregroundMark x1="30833" y1="24271" x2="40636" y2="31749"/>
                      <a14:foregroundMark x1="40727" y1="31624" x2="36979" y2="25313"/>
                      <a14:foregroundMark x1="14688" y1="64583" x2="19792" y2="64479"/>
                      <a14:foregroundMark x1="19797" y1="57826" x2="21399" y2="56173"/>
                      <a14:foregroundMark x1="15974" y1="61771" x2="15902" y2="61846"/>
                      <a14:foregroundMark x1="13854" y1="63958" x2="15974" y2="61771"/>
                      <a14:foregroundMark x1="23281" y1="53125" x2="22987" y2="52536"/>
                      <a14:foregroundMark x1="23424" y1="53411" x2="23281" y2="53125"/>
                      <a14:foregroundMark x1="15944" y1="60521" x2="16290" y2="59780"/>
                      <a14:foregroundMark x1="13854" y1="65000" x2="15944" y2="60521"/>
                      <a14:foregroundMark x1="16912" y1="53254" x2="15625" y2="50938"/>
                      <a14:foregroundMark x1="17745" y1="54754" x2="17446" y2="54216"/>
                      <a14:foregroundMark x1="31117" y1="51294" x2="32188" y2="49792"/>
                      <a14:foregroundMark x1="28082" y1="55549" x2="31038" y2="51404"/>
                      <a14:foregroundMark x1="26893" y1="57217" x2="27618" y2="56199"/>
                      <a14:foregroundMark x1="32188" y1="49792" x2="32563" y2="51345"/>
                      <a14:foregroundMark x1="42413" y1="62122" x2="50000" y2="65208"/>
                      <a14:foregroundMark x1="36437" y1="59692" x2="39410" y2="60901"/>
                      <a14:foregroundMark x1="50000" y1="65208" x2="49178" y2="57328"/>
                      <a14:foregroundMark x1="42697" y1="71012" x2="42217" y2="72419"/>
                      <a14:foregroundMark x1="45554" y1="62616" x2="44207" y2="66573"/>
                      <a14:foregroundMark x1="47717" y1="56263" x2="46745" y2="59117"/>
                      <a14:foregroundMark x1="53868" y1="74858" x2="54688" y2="75000"/>
                      <a14:foregroundMark x1="52721" y1="74659" x2="53820" y2="74849"/>
                      <a14:foregroundMark x1="42736" y1="76267" x2="40938" y2="76458"/>
                      <a14:foregroundMark x1="53720" y1="75103" x2="53057" y2="75173"/>
                      <a14:foregroundMark x1="54688" y1="75000" x2="53782" y2="75096"/>
                      <a14:foregroundMark x1="55698" y1="57863" x2="57211" y2="55957"/>
                      <a14:foregroundMark x1="48268" y1="67224" x2="53100" y2="61136"/>
                      <a14:foregroundMark x1="43463" y1="73277" x2="44711" y2="71705"/>
                      <a14:foregroundMark x1="41186" y1="76146" x2="41672" y2="75533"/>
                      <a14:foregroundMark x1="40938" y1="76458" x2="41186" y2="76146"/>
                      <a14:foregroundMark x1="48032" y1="56493" x2="45938" y2="57500"/>
                      <a14:foregroundMark x1="56543" y1="52401" x2="54166" y2="53544"/>
                      <a14:foregroundMark x1="48931" y1="56061" x2="56959" y2="52201"/>
                      <a14:foregroundMark x1="60095" y1="50693" x2="57112" y2="52127"/>
                      <a14:foregroundMark x1="55947" y1="58564" x2="59673" y2="58961"/>
                      <a14:foregroundMark x1="51261" y1="58066" x2="52040" y2="58149"/>
                      <a14:foregroundMark x1="45938" y1="57500" x2="50007" y2="57933"/>
                      <a14:foregroundMark x1="39392" y1="61478" x2="38646" y2="61563"/>
                      <a14:foregroundMark x1="43497" y1="61011" x2="42950" y2="61073"/>
                      <a14:foregroundMark x1="52684" y1="59965" x2="48450" y2="60447"/>
                      <a14:foregroundMark x1="57585" y1="59408" x2="56298" y2="59554"/>
                      <a14:foregroundMark x1="38646" y1="61563" x2="39392" y2="61491"/>
                      <a14:foregroundMark x1="63023" y1="59983" x2="68229" y2="62083"/>
                      <a14:foregroundMark x1="57857" y1="57900" x2="58990" y2="58357"/>
                      <a14:foregroundMark x1="56279" y1="57263" x2="57615" y2="57802"/>
                      <a14:foregroundMark x1="55833" y1="57083" x2="55652" y2="57010"/>
                      <a14:foregroundMark x1="66216" y1="56273" x2="67188" y2="56771"/>
                      <a14:foregroundMark x1="63319" y1="54788" x2="63904" y2="55088"/>
                      <a14:foregroundMark x1="54792" y1="50417" x2="57636" y2="51875"/>
                      <a14:foregroundMark x1="59018" y1="48393" x2="55625" y2="50938"/>
                      <a14:foregroundMark x1="58377" y1="48327" x2="57425" y2="52267"/>
                      <a14:foregroundMark x1="70521" y1="53646" x2="69688" y2="51146"/>
                      <a14:foregroundMark x1="70938" y1="52812" x2="67813" y2="52083"/>
                      <a14:foregroundMark x1="66042" y1="53333" x2="66250" y2="50625"/>
                      <a14:foregroundMark x1="68750" y1="52812" x2="69167" y2="50938"/>
                      <a14:foregroundMark x1="67188" y1="49583" x2="64479" y2="49896"/>
                      <a14:foregroundMark x1="71979" y1="52917" x2="71771" y2="49896"/>
                      <a14:foregroundMark x1="69792" y1="49896" x2="66771" y2="49375"/>
                      <a14:foregroundMark x1="69167" y1="52396" x2="68438" y2="56042"/>
                      <a14:foregroundMark x1="66250" y1="62708" x2="62500" y2="66250"/>
                      <a14:foregroundMark x1="63958" y1="61563" x2="63369" y2="61563"/>
                      <a14:foregroundMark x1="62083" y1="63229" x2="56771" y2="63750"/>
                      <a14:foregroundMark x1="57813" y1="63021" x2="57528" y2="63021"/>
                      <a14:foregroundMark x1="63958" y1="63958" x2="60521" y2="63542"/>
                      <a14:foregroundMark x1="78737" y1="52293" x2="78353" y2="52545"/>
                      <a14:foregroundMark x1="79688" y1="51667" x2="79183" y2="51999"/>
                      <a14:foregroundMark x1="75208" y1="50417" x2="74167" y2="52604"/>
                      <a14:foregroundMark x1="74896" y1="51667" x2="73021" y2="52917"/>
                      <a14:foregroundMark x1="72778" y1="54010" x2="72396" y2="54271"/>
                      <a14:foregroundMark x1="72856" y1="54109" x2="72500" y2="54583"/>
                      <a14:foregroundMark x1="73229" y1="56563" x2="72708" y2="59792"/>
                      <a14:foregroundMark x1="72708" y1="59792" x2="70729" y2="60313"/>
                      <a14:foregroundMark x1="70938" y1="58750" x2="73646" y2="60521"/>
                      <a14:foregroundMark x1="73646" y1="58333" x2="76006" y2="61480"/>
                      <a14:foregroundMark x1="76368" y1="63653" x2="76667" y2="64271"/>
                      <a14:foregroundMark x1="75208" y1="61250" x2="75910" y2="62703"/>
                      <a14:foregroundMark x1="75625" y1="63750" x2="76667" y2="64583"/>
                      <a14:foregroundMark x1="85410" y1="54131" x2="86042" y2="53333"/>
                      <a14:foregroundMark x1="93333" y1="58750" x2="85346" y2="55803"/>
                      <a14:foregroundMark x1="88542" y1="60729" x2="85137" y2="55962"/>
                      <a14:foregroundMark x1="85104" y1="56146" x2="86563" y2="55625"/>
                      <a14:foregroundMark x1="88542" y1="57292" x2="84896" y2="58021"/>
                      <a14:foregroundMark x1="85104" y1="59792" x2="84583" y2="60313"/>
                      <a14:foregroundMark x1="86146" y1="61354" x2="83438" y2="60833"/>
                      <a14:foregroundMark x1="84063" y1="61563" x2="84239" y2="61710"/>
                      <a14:foregroundMark x1="85417" y1="60521" x2="82604" y2="62813"/>
                      <a14:foregroundMark x1="84063" y1="63021" x2="82813" y2="61563"/>
                      <a14:foregroundMark x1="83333" y1="63542" x2="80833" y2="64271"/>
                      <a14:foregroundMark x1="81458" y1="63542" x2="80208" y2="64792"/>
                      <a14:foregroundMark x1="80104" y1="65313" x2="78125" y2="66042"/>
                      <a14:foregroundMark x1="80208" y1="65313" x2="78958" y2="65729"/>
                      <a14:foregroundMark x1="79896" y1="64792" x2="79896" y2="64792"/>
                      <a14:foregroundMark x1="80938" y1="64271" x2="82396" y2="64271"/>
                      <a14:foregroundMark x1="82917" y1="64271" x2="82917" y2="64271"/>
                      <a14:foregroundMark x1="80958" y1="51780" x2="80208" y2="49792"/>
                      <a14:foregroundMark x1="82873" y1="56853" x2="83073" y2="57383"/>
                      <a14:foregroundMark x1="83645" y1="58898" x2="83093" y2="57436"/>
                      <a14:foregroundMark x1="84375" y1="60833" x2="84053" y2="59981"/>
                      <a14:foregroundMark x1="80208" y1="49792" x2="74896" y2="49896"/>
                      <a14:foregroundMark x1="81146" y1="71667" x2="79688" y2="71667"/>
                      <a14:foregroundMark x1="81354" y1="71979" x2="80833" y2="73021"/>
                      <a14:foregroundMark x1="81875" y1="72500" x2="85833" y2="72396"/>
                      <a14:foregroundMark x1="84792" y1="72188" x2="86563" y2="72188"/>
                      <a14:foregroundMark x1="85417" y1="72500" x2="86354" y2="73958"/>
                      <a14:foregroundMark x1="86042" y1="73438" x2="86354" y2="75208"/>
                      <a14:foregroundMark x1="86563" y1="74479" x2="86563" y2="76667"/>
                      <a14:foregroundMark x1="87083" y1="75938" x2="86042" y2="77604"/>
                      <a14:foregroundMark x1="86354" y1="76979" x2="85104" y2="78438"/>
                      <a14:foregroundMark x1="86875" y1="77708" x2="84167" y2="79167"/>
                      <a14:foregroundMark x1="86042" y1="78854" x2="83125" y2="78438"/>
                      <a14:foregroundMark x1="85625" y1="77604" x2="80833" y2="77917"/>
                      <a14:foregroundMark x1="84167" y1="77188" x2="83125" y2="77917"/>
                      <a14:foregroundMark x1="86563" y1="78125" x2="80208" y2="76250"/>
                      <a14:foregroundMark x1="82604" y1="74479" x2="82396" y2="74375"/>
                      <a14:foregroundMark x1="81667" y1="73646" x2="81146" y2="73958"/>
                      <a14:foregroundMark x1="81354" y1="75625" x2="80417" y2="76979"/>
                      <a14:foregroundMark x1="81146" y1="78125" x2="76667" y2="79167"/>
                      <a14:foregroundMark x1="79688" y1="79167" x2="77188" y2="80104"/>
                      <a14:foregroundMark x1="78438" y1="78958" x2="72917" y2="79375"/>
                      <a14:foregroundMark x1="76458" y1="78646" x2="72708" y2="78958"/>
                      <a14:foregroundMark x1="79688" y1="78854" x2="73958" y2="79375"/>
                      <a14:foregroundMark x1="74167" y1="78438" x2="67292" y2="78646"/>
                      <a14:foregroundMark x1="73646" y1="78229" x2="68750" y2="78854"/>
                      <a14:foregroundMark x1="72188" y1="78438" x2="68229" y2="78438"/>
                      <a14:foregroundMark x1="71458" y1="78438" x2="65938" y2="78438"/>
                      <a14:foregroundMark x1="67292" y1="77708" x2="63229" y2="78229"/>
                      <a14:foregroundMark x1="66042" y1="78125" x2="61250" y2="78229"/>
                      <a14:foregroundMark x1="66979" y1="78438" x2="57813" y2="78438"/>
                      <a14:foregroundMark x1="63021" y1="78229" x2="53333" y2="78958"/>
                      <a14:foregroundMark x1="58542" y1="79167" x2="48438" y2="79896"/>
                      <a14:foregroundMark x1="52144" y1="79375" x2="44167" y2="79375"/>
                      <a14:foregroundMark x1="57292" y1="79375" x2="52147" y2="79375"/>
                      <a14:foregroundMark x1="45162" y1="78331" x2="42500" y2="78438"/>
                      <a14:foregroundMark x1="40829" y1="77712" x2="40729" y2="77708"/>
                      <a14:foregroundMark x1="40728" y1="77698" x2="39688" y2="77708"/>
                      <a14:foregroundMark x1="43914" y1="78153" x2="38958" y2="78229"/>
                      <a14:foregroundMark x1="65729" y1="72917" x2="65938" y2="74688"/>
                      <a14:foregroundMark x1="66250" y1="74375" x2="66979" y2="75729"/>
                      <a14:foregroundMark x1="67500" y1="74688" x2="67292" y2="75417"/>
                      <a14:foregroundMark x1="38229" y1="75208" x2="38229" y2="75208"/>
                      <a14:foregroundMark x1="38229" y1="75000" x2="38229" y2="75000"/>
                      <a14:foregroundMark x1="38229" y1="75000" x2="38229" y2="75000"/>
                      <a14:foregroundMark x1="38229" y1="75000" x2="38229" y2="75000"/>
                      <a14:foregroundMark x1="38021" y1="75000" x2="38438" y2="74375"/>
                      <a14:foregroundMark x1="38438" y1="73750" x2="37500" y2="76458"/>
                      <a14:foregroundMark x1="37500" y1="74167" x2="37917" y2="74167"/>
                      <a14:foregroundMark x1="38646" y1="73021" x2="38750" y2="75625"/>
                      <a14:foregroundMark x1="38229" y1="78229" x2="36979" y2="78646"/>
                      <a14:foregroundMark x1="36667" y1="78646" x2="34688" y2="79167"/>
                      <a14:foregroundMark x1="32500" y1="79167" x2="31563" y2="79167"/>
                      <a14:foregroundMark x1="34688" y1="79167" x2="28542" y2="78854"/>
                      <a14:foregroundMark x1="29583" y1="78125" x2="24063" y2="78229"/>
                      <a14:foregroundMark x1="26979" y1="78229" x2="20104" y2="78125"/>
                      <a14:foregroundMark x1="23750" y1="77708" x2="19063" y2="77708"/>
                      <a14:foregroundMark x1="19063" y1="77708" x2="18125" y2="77708"/>
                      <a14:foregroundMark x1="24792" y1="77708" x2="17604" y2="77917"/>
                      <a14:foregroundMark x1="20417" y1="76979" x2="19896" y2="74479"/>
                      <a14:foregroundMark x1="19792" y1="74375" x2="19792" y2="74688"/>
                      <a14:foregroundMark x1="19792" y1="73958" x2="19792" y2="73438"/>
                      <a14:foregroundMark x1="19375" y1="72500" x2="19167" y2="73229"/>
                      <a14:foregroundMark x1="17083" y1="72396" x2="14167" y2="72500"/>
                      <a14:foregroundMark x1="13646" y1="72396" x2="15104" y2="73229"/>
                      <a14:foregroundMark x1="16354" y1="71250" x2="15937" y2="73438"/>
                      <a14:foregroundMark x1="16354" y1="76250" x2="18854" y2="78438"/>
                      <a14:foregroundMark x1="23333" y1="79583" x2="20625" y2="81146"/>
                      <a14:foregroundMark x1="19583" y1="81458" x2="19583" y2="81458"/>
                      <a14:foregroundMark x1="18854" y1="81875" x2="17917" y2="82083"/>
                      <a14:foregroundMark x1="17083" y1="82188" x2="17083" y2="82188"/>
                      <a14:foregroundMark x1="16146" y1="82083" x2="16667" y2="82083"/>
                      <a14:foregroundMark x1="37708" y1="82188" x2="37708" y2="82188"/>
                      <a14:foregroundMark x1="36771" y1="82917" x2="35208" y2="83438"/>
                      <a14:foregroundMark x1="39271" y1="83333" x2="41667" y2="83438"/>
                      <a14:foregroundMark x1="37708" y1="83125" x2="37708" y2="83125"/>
                      <a14:foregroundMark x1="38229" y1="82396" x2="38750" y2="82396"/>
                      <a14:foregroundMark x1="39167" y1="82396" x2="39167" y2="82396"/>
                      <a14:foregroundMark x1="39167" y1="82396" x2="39167" y2="82396"/>
                      <a14:foregroundMark x1="36771" y1="57500" x2="36771" y2="57500"/>
                      <a14:foregroundMark x1="37708" y1="58021" x2="37708" y2="58021"/>
                      <a14:foregroundMark x1="37708" y1="56042" x2="37708" y2="53125"/>
                      <a14:foregroundMark x1="37708" y1="52917" x2="37917" y2="51354"/>
                      <a14:foregroundMark x1="38438" y1="49167" x2="38021" y2="50313"/>
                      <a14:foregroundMark x1="51146" y1="51146" x2="50625" y2="52083"/>
                      <a14:foregroundMark x1="49896" y1="50313" x2="49896" y2="50313"/>
                      <a14:foregroundMark x1="48333" y1="49583" x2="45729" y2="49375"/>
                      <a14:foregroundMark x1="45417" y1="49375" x2="44688" y2="50625"/>
                      <a14:foregroundMark x1="44479" y1="51354" x2="44479" y2="51354"/>
                      <a14:foregroundMark x1="44896" y1="52292" x2="45625" y2="53125"/>
                      <a14:foregroundMark x1="28750" y1="54375" x2="28854" y2="56563"/>
                      <a14:foregroundMark x1="29479" y1="58125" x2="29479" y2="58660"/>
                      <a14:foregroundMark x1="30000" y1="61042" x2="30000" y2="61563"/>
                      <a14:foregroundMark x1="30000" y1="62292" x2="30000" y2="62292"/>
                      <a14:foregroundMark x1="30208" y1="63333" x2="30312" y2="64792"/>
                      <a14:foregroundMark x1="27604" y1="52812" x2="27604" y2="52812"/>
                      <a14:foregroundMark x1="26563" y1="54271" x2="26563" y2="54271"/>
                      <a14:foregroundMark x1="20104" y1="63958" x2="20104" y2="63958"/>
                      <a14:foregroundMark x1="19792" y1="56563" x2="19792" y2="56563"/>
                      <a14:foregroundMark x1="18798" y1="54529" x2="18333" y2="53542"/>
                      <a14:foregroundMark x1="53778" y1="30970" x2="53333" y2="31563"/>
                      <a14:foregroundMark x1="54271" y1="30312" x2="54037" y2="30624"/>
                      <a14:foregroundMark x1="53333" y1="32813" x2="53333" y2="32813"/>
                      <a14:foregroundMark x1="55625" y1="33438" x2="56563" y2="34063"/>
                      <a14:foregroundMark x1="56875" y1="34063" x2="56875" y2="34063"/>
                      <a14:foregroundMark x1="49896" y1="27813" x2="49896" y2="27813"/>
                      <a14:foregroundMark x1="39271" y1="82813" x2="39271" y2="82813"/>
                      <a14:foregroundMark x1="37500" y1="82083" x2="37500" y2="82083"/>
                      <a14:foregroundMark x1="36771" y1="82083" x2="36771" y2="82083"/>
                      <a14:foregroundMark x1="35729" y1="82083" x2="35729" y2="82083"/>
                      <a14:foregroundMark x1="38438" y1="80417" x2="38438" y2="80417"/>
                      <a14:foregroundMark x1="34792" y1="81146" x2="34792" y2="81146"/>
                      <a14:foregroundMark x1="39271" y1="83125" x2="39271" y2="83125"/>
                      <a14:foregroundMark x1="63750" y1="28229" x2="63750" y2="28229"/>
                      <a14:foregroundMark x1="61771" y1="25521" x2="61563" y2="26042"/>
                      <a14:foregroundMark x1="65208" y1="23854" x2="67500" y2="26250"/>
                      <a14:foregroundMark x1="65000" y1="26563" x2="61354" y2="25625"/>
                      <a14:foregroundMark x1="60313" y1="25521" x2="60313" y2="26042"/>
                      <a14:foregroundMark x1="59583" y1="25833" x2="59375" y2="26563"/>
                      <a14:foregroundMark x1="58854" y1="26354" x2="57604" y2="27604"/>
                      <a14:foregroundMark x1="57500" y1="27083" x2="57500" y2="27083"/>
                      <a14:foregroundMark x1="57292" y1="27083" x2="57292" y2="27083"/>
                      <a14:foregroundMark x1="58125" y1="25521" x2="58125" y2="25521"/>
                      <a14:foregroundMark x1="58021" y1="24063" x2="58021" y2="24063"/>
                      <a14:foregroundMark x1="57813" y1="25521" x2="57604" y2="26354"/>
                      <a14:foregroundMark x1="57500" y1="26771" x2="57500" y2="26771"/>
                      <a14:foregroundMark x1="57500" y1="27604" x2="57500" y2="30000"/>
                      <a14:foregroundMark x1="58333" y1="31563" x2="58750" y2="32500"/>
                      <a14:foregroundMark x1="57604" y1="30729" x2="59271" y2="31042"/>
                      <a14:foregroundMark x1="57500" y1="29063" x2="57813" y2="30833"/>
                      <a14:foregroundMark x1="56563" y1="27292" x2="58125" y2="29792"/>
                      <a14:foregroundMark x1="57083" y1="26979" x2="60104" y2="25104"/>
                      <a14:foregroundMark x1="60313" y1="23333" x2="58854" y2="23333"/>
                      <a14:foregroundMark x1="60521" y1="20417" x2="58125" y2="20625"/>
                      <a14:foregroundMark x1="60000" y1="21146" x2="57500" y2="23854"/>
                      <a14:foregroundMark x1="56875" y1="24583" x2="55833" y2="28333"/>
                      <a14:foregroundMark x1="55625" y1="27813" x2="55833" y2="33438"/>
                      <a14:foregroundMark x1="56354" y1="30312" x2="56875" y2="31979"/>
                      <a14:foregroundMark x1="55521" y1="28021" x2="57604" y2="28750"/>
                      <a14:foregroundMark x1="58542" y1="28854" x2="57083" y2="26250"/>
                      <a14:foregroundMark x1="59583" y1="23750" x2="59271" y2="23021"/>
                      <a14:foregroundMark x1="60521" y1="22604" x2="61042" y2="23021"/>
                      <a14:foregroundMark x1="62292" y1="23333" x2="60833" y2="23542"/>
                      <a14:foregroundMark x1="64063" y1="24271" x2="64063" y2="24271"/>
                      <a14:foregroundMark x1="64583" y1="24271" x2="64063" y2="23854"/>
                      <a14:foregroundMark x1="65000" y1="25625" x2="62292" y2="23542"/>
                      <a14:foregroundMark x1="63958" y1="25521" x2="62500" y2="23750"/>
                      <a14:foregroundMark x1="62292" y1="25000" x2="62083" y2="26354"/>
                      <a14:foregroundMark x1="49063" y1="79896" x2="49063" y2="79896"/>
                      <a14:foregroundMark x1="51146" y1="79688" x2="52292" y2="79688"/>
                      <a14:foregroundMark x1="52292" y1="78958" x2="44479" y2="78438"/>
                      <a14:foregroundMark x1="52917" y1="78854" x2="49688" y2="78438"/>
                      <a14:foregroundMark x1="59583" y1="77396" x2="55104" y2="77708"/>
                      <a14:foregroundMark x1="59375" y1="77708" x2="40000" y2="78646"/>
                      <a14:foregroundMark x1="43229" y1="78229" x2="53333" y2="77917"/>
                      <a14:foregroundMark x1="53333" y1="77917" x2="40417" y2="77708"/>
                      <a14:foregroundMark x1="38958" y1="80938" x2="37188" y2="81146"/>
                      <a14:foregroundMark x1="20313" y1="56354" x2="23333" y2="61979"/>
                      <a14:foregroundMark x1="19792" y1="56354" x2="22083" y2="60313"/>
                      <a14:foregroundMark x1="21354" y1="59062" x2="23021" y2="61042"/>
                      <a14:foregroundMark x1="78438" y1="50417" x2="84167" y2="52083"/>
                      <a14:foregroundMark x1="81667" y1="49688" x2="85417" y2="52396"/>
                      <a14:foregroundMark x1="82813" y1="50833" x2="84583" y2="57500"/>
                      <a14:foregroundMark x1="84063" y1="55833" x2="85104" y2="58542"/>
                      <a14:foregroundMark x1="85625" y1="59271" x2="85625" y2="59271"/>
                      <a14:foregroundMark x1="74896" y1="52917" x2="73646" y2="56146"/>
                      <a14:foregroundMark x1="74167" y1="53125" x2="73958" y2="55625"/>
                      <a14:foregroundMark x1="73646" y1="53854" x2="72917" y2="55521"/>
                      <a14:foregroundMark x1="73438" y1="54271" x2="74479" y2="62292"/>
                      <a14:foregroundMark x1="80625" y1="64583" x2="80938" y2="64063"/>
                      <a14:foregroundMark x1="76875" y1="63542" x2="77604" y2="63542"/>
                      <a14:foregroundMark x1="78958" y1="63542" x2="79375" y2="63750"/>
                      <a14:backgroundMark x1="21354" y1="68958" x2="21354" y2="68958"/>
                      <a14:backgroundMark x1="22396" y1="69479" x2="25625" y2="70417"/>
                      <a14:backgroundMark x1="45625" y1="69792" x2="45625" y2="69792"/>
                      <a14:backgroundMark x1="47708" y1="70729" x2="46458" y2="71458"/>
                      <a14:backgroundMark x1="44479" y1="71458" x2="44479" y2="71458"/>
                      <a14:backgroundMark x1="51146" y1="71146" x2="44688" y2="71146"/>
                      <a14:backgroundMark x1="44896" y1="70000" x2="43646" y2="70208"/>
                      <a14:backgroundMark x1="46458" y1="69271" x2="41979" y2="70000"/>
                      <a14:backgroundMark x1="44896" y1="68958" x2="40938" y2="68229"/>
                      <a14:backgroundMark x1="41250" y1="67708" x2="52292" y2="69479"/>
                      <a14:backgroundMark x1="52292" y1="69479" x2="66563" y2="68646"/>
                      <a14:backgroundMark x1="66563" y1="68646" x2="66458" y2="68542"/>
                      <a14:backgroundMark x1="50938" y1="68958" x2="47604" y2="72500"/>
                      <a14:backgroundMark x1="52604" y1="74479" x2="47083" y2="74688"/>
                      <a14:backgroundMark x1="48854" y1="75000" x2="45417" y2="74688"/>
                      <a14:backgroundMark x1="43958" y1="74167" x2="41667" y2="73646"/>
                      <a14:backgroundMark x1="43438" y1="73750" x2="43438" y2="73750"/>
                      <a14:backgroundMark x1="42500" y1="73229" x2="43125" y2="74479"/>
                      <a14:backgroundMark x1="42396" y1="76146" x2="42396" y2="76146"/>
                      <a14:backgroundMark x1="43958" y1="74688" x2="44688" y2="74896"/>
                      <a14:backgroundMark x1="49375" y1="75625" x2="49896" y2="75208"/>
                      <a14:backgroundMark x1="42396" y1="34479" x2="41458" y2="36458"/>
                      <a14:backgroundMark x1="43125" y1="34688" x2="41979" y2="36771"/>
                      <a14:backgroundMark x1="44375" y1="34792" x2="43229" y2="35208"/>
                      <a14:backgroundMark x1="44688" y1="33542" x2="43438" y2="35000"/>
                      <a14:backgroundMark x1="44167" y1="33438" x2="43229" y2="34479"/>
                      <a14:backgroundMark x1="45104" y1="31563" x2="44375" y2="32708"/>
                      <a14:backgroundMark x1="45625" y1="31250" x2="45104" y2="32188"/>
                      <a14:backgroundMark x1="45625" y1="30000" x2="44688" y2="31042"/>
                      <a14:backgroundMark x1="44896" y1="30312" x2="44375" y2="31042"/>
                      <a14:backgroundMark x1="45104" y1="30521" x2="45417" y2="30208"/>
                      <a14:backgroundMark x1="45938" y1="27292" x2="45208" y2="28229"/>
                      <a14:backgroundMark x1="44896" y1="27604" x2="44375" y2="28333"/>
                      <a14:backgroundMark x1="44479" y1="29479" x2="35208" y2="42188"/>
                      <a14:backgroundMark x1="42708" y1="38750" x2="41458" y2="39896"/>
                      <a14:backgroundMark x1="41458" y1="38646" x2="40208" y2="39479"/>
                      <a14:backgroundMark x1="41667" y1="38021" x2="39479" y2="39271"/>
                      <a14:backgroundMark x1="40938" y1="38958" x2="39896" y2="40000"/>
                      <a14:backgroundMark x1="42396" y1="39479" x2="40208" y2="39271"/>
                      <a14:backgroundMark x1="41458" y1="38750" x2="40625" y2="40000"/>
                      <a14:backgroundMark x1="41458" y1="39688" x2="36667" y2="42500"/>
                      <a14:backgroundMark x1="50313" y1="35938" x2="49167" y2="38229"/>
                      <a14:backgroundMark x1="50313" y1="36979" x2="50104" y2="42917"/>
                      <a14:backgroundMark x1="49375" y1="41667" x2="46875" y2="42396"/>
                      <a14:backgroundMark x1="48125" y1="42188" x2="47917" y2="43125"/>
                      <a14:backgroundMark x1="53646" y1="43125" x2="57604" y2="46458"/>
                      <a14:backgroundMark x1="57604" y1="46146" x2="60000" y2="47188"/>
                      <a14:backgroundMark x1="58542" y1="46667" x2="60000" y2="47188"/>
                      <a14:backgroundMark x1="63542" y1="48333" x2="63958" y2="47604"/>
                      <a14:backgroundMark x1="57660" y1="24063" x2="58084" y2="24851"/>
                      <a14:backgroundMark x1="63021" y1="22604" x2="64286" y2="24018"/>
                      <a14:backgroundMark x1="43438" y1="75938" x2="43702" y2="76277"/>
                      <a14:backgroundMark x1="53232" y1="76478" x2="53854" y2="74896"/>
                      <a14:backgroundMark x1="21563" y1="50313" x2="21875" y2="53333"/>
                      <a14:backgroundMark x1="22292" y1="53854" x2="22292" y2="53854"/>
                      <a14:backgroundMark x1="22604" y1="54792" x2="22604" y2="54792"/>
                      <a14:backgroundMark x1="23542" y1="53333" x2="24271" y2="54271"/>
                      <a14:backgroundMark x1="25104" y1="53542" x2="24271" y2="52812"/>
                      <a14:backgroundMark x1="22604" y1="50104" x2="22813" y2="50833"/>
                      <a14:backgroundMark x1="23333" y1="53125" x2="23333" y2="53125"/>
                      <a14:backgroundMark x1="22083" y1="49896" x2="22396" y2="52604"/>
                      <a14:backgroundMark x1="22083" y1="54583" x2="22083" y2="55104"/>
                      <a14:backgroundMark x1="22083" y1="55313" x2="22292" y2="55833"/>
                      <a14:backgroundMark x1="17813" y1="60521" x2="17813" y2="60521"/>
                      <a14:backgroundMark x1="17917" y1="61771" x2="17917" y2="61771"/>
                      <a14:backgroundMark x1="18125" y1="60729" x2="18333" y2="60104"/>
                      <a14:backgroundMark x1="18333" y1="59792" x2="19896" y2="62500"/>
                      <a14:backgroundMark x1="17604" y1="57813" x2="18125" y2="59792"/>
                      <a14:backgroundMark x1="17604" y1="56563" x2="18854" y2="61042"/>
                      <a14:backgroundMark x1="17083" y1="54896" x2="17604" y2="57292"/>
                      <a14:backgroundMark x1="17604" y1="56875" x2="17396" y2="54063"/>
                      <a14:backgroundMark x1="17604" y1="55625" x2="17604" y2="53542"/>
                      <a14:backgroundMark x1="25313" y1="60833" x2="27292" y2="59271"/>
                      <a14:backgroundMark x1="26354" y1="62083" x2="27813" y2="57500"/>
                      <a14:backgroundMark x1="27500" y1="61771" x2="27292" y2="58021"/>
                      <a14:backgroundMark x1="26979" y1="60104" x2="27813" y2="55625"/>
                      <a14:backgroundMark x1="27292" y1="58542" x2="26354" y2="57500"/>
                      <a14:backgroundMark x1="27500" y1="58542" x2="26042" y2="62708"/>
                      <a14:backgroundMark x1="27292" y1="58333" x2="26979" y2="60104"/>
                      <a14:backgroundMark x1="28229" y1="57500" x2="26563" y2="58750"/>
                      <a14:backgroundMark x1="27604" y1="57500" x2="25313" y2="61563"/>
                      <a14:backgroundMark x1="26563" y1="59792" x2="25313" y2="62500"/>
                      <a14:backgroundMark x1="26563" y1="61042" x2="25313" y2="61354"/>
                      <a14:backgroundMark x1="26979" y1="59792" x2="25104" y2="62500"/>
                      <a14:backgroundMark x1="25833" y1="61354" x2="23750" y2="65000"/>
                      <a14:backgroundMark x1="24792" y1="64792" x2="23542" y2="66250"/>
                      <a14:backgroundMark x1="34479" y1="54583" x2="34792" y2="63229"/>
                      <a14:backgroundMark x1="33438" y1="55313" x2="34479" y2="61979"/>
                      <a14:backgroundMark x1="33542" y1="52292" x2="33438" y2="56771"/>
                      <a14:backgroundMark x1="32813" y1="51354" x2="32708" y2="54271"/>
                      <a14:backgroundMark x1="41875" y1="52917" x2="40208" y2="58125"/>
                      <a14:backgroundMark x1="41458" y1="51875" x2="41146" y2="62083"/>
                      <a14:backgroundMark x1="45625" y1="60729" x2="46458" y2="61563"/>
                      <a14:backgroundMark x1="43438" y1="58750" x2="47708" y2="62083"/>
                      <a14:backgroundMark x1="52396" y1="53854" x2="55833" y2="63542"/>
                      <a14:backgroundMark x1="47083" y1="53646" x2="52083" y2="57292"/>
                      <a14:backgroundMark x1="61771" y1="53125" x2="61042" y2="58125"/>
                      <a14:backgroundMark x1="61042" y1="51875" x2="61771" y2="59583"/>
                      <a14:backgroundMark x1="62083" y1="49688" x2="60521" y2="58125"/>
                      <a14:backgroundMark x1="59792" y1="52812" x2="59375" y2="58021"/>
                      <a14:backgroundMark x1="59062" y1="53542" x2="58021" y2="57604"/>
                      <a14:backgroundMark x1="59375" y1="54271" x2="62292" y2="60313"/>
                      <a14:backgroundMark x1="63750" y1="55104" x2="64271" y2="60104"/>
                      <a14:backgroundMark x1="64479" y1="55833" x2="63958" y2="61042"/>
                      <a14:backgroundMark x1="61979" y1="60000" x2="61250" y2="62500"/>
                      <a14:backgroundMark x1="59271" y1="58333" x2="59583" y2="61979"/>
                      <a14:backgroundMark x1="58333" y1="52396" x2="57813" y2="56042"/>
                      <a14:backgroundMark x1="58854" y1="51875" x2="58854" y2="54063"/>
                      <a14:backgroundMark x1="58854" y1="51667" x2="61771" y2="57813"/>
                      <a14:backgroundMark x1="75788" y1="55777" x2="77917" y2="59375"/>
                      <a14:backgroundMark x1="78125" y1="55104" x2="81354" y2="56354"/>
                      <a14:backgroundMark x1="81667" y1="54375" x2="80833" y2="55313"/>
                      <a14:backgroundMark x1="78646" y1="52917" x2="75891" y2="53764"/>
                      <a14:backgroundMark x1="81875" y1="56146" x2="80625" y2="57604"/>
                      <a14:backgroundMark x1="78229" y1="59062" x2="77708" y2="59375"/>
                      <a14:backgroundMark x1="79375" y1="60729" x2="83854" y2="60313"/>
                      <a14:backgroundMark x1="83054" y1="56204" x2="83125" y2="55833"/>
                      <a14:backgroundMark x1="82604" y1="58542" x2="82805" y2="57498"/>
                      <a14:backgroundMark x1="82088" y1="49289" x2="82083" y2="48854"/>
                      <a14:backgroundMark x1="82188" y1="57604" x2="82160" y2="55276"/>
                      <a14:backgroundMark x1="78646" y1="52812" x2="82456" y2="56423"/>
                      <a14:backgroundMark x1="80917" y1="52853" x2="80625" y2="59062"/>
                      <a14:backgroundMark x1="78125" y1="55313" x2="78125" y2="58021"/>
                      <a14:backgroundMark x1="77917" y1="56354" x2="77917" y2="59583"/>
                      <a14:backgroundMark x1="77917" y1="59792" x2="77604" y2="63750"/>
                    </a14:backgroundRemoval>
                  </a14:imgEffect>
                </a14:imgLayer>
              </a14:imgProps>
            </a:ext>
            <a:ext uri="{28A0092B-C50C-407E-A947-70E740481C1C}">
              <a14:useLocalDpi xmlns:a14="http://schemas.microsoft.com/office/drawing/2010/main" val="0"/>
            </a:ext>
          </a:extLst>
        </a:blip>
        <a:stretch>
          <a:fillRect/>
        </a:stretch>
      </xdr:blipFill>
      <xdr:spPr>
        <a:xfrm>
          <a:off x="95249" y="0"/>
          <a:ext cx="752475" cy="752475"/>
        </a:xfrm>
        <a:prstGeom prst="rect">
          <a:avLst/>
        </a:prstGeom>
        <a:ln>
          <a:noFill/>
        </a:ln>
      </xdr:spPr>
    </xdr:pic>
    <xdr:clientData/>
  </xdr:twoCellAnchor>
  <xdr:twoCellAnchor>
    <xdr:from>
      <xdr:col>20</xdr:col>
      <xdr:colOff>28574</xdr:colOff>
      <xdr:row>22</xdr:row>
      <xdr:rowOff>57150</xdr:rowOff>
    </xdr:from>
    <xdr:to>
      <xdr:col>27</xdr:col>
      <xdr:colOff>180975</xdr:colOff>
      <xdr:row>35</xdr:row>
      <xdr:rowOff>9527</xdr:rowOff>
    </xdr:to>
    <xdr:sp macro="" textlink="">
      <xdr:nvSpPr>
        <xdr:cNvPr id="4" name="Rectangle: Rounded Corners 3">
          <a:extLst>
            <a:ext uri="{FF2B5EF4-FFF2-40B4-BE49-F238E27FC236}">
              <a16:creationId xmlns:a16="http://schemas.microsoft.com/office/drawing/2014/main" id="{BD7078FC-019D-35EA-A041-508B704DCBCE}"/>
            </a:ext>
          </a:extLst>
        </xdr:cNvPr>
        <xdr:cNvSpPr/>
      </xdr:nvSpPr>
      <xdr:spPr>
        <a:xfrm>
          <a:off x="12220574" y="4248150"/>
          <a:ext cx="4419601" cy="24288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c</a:t>
          </a:r>
        </a:p>
      </xdr:txBody>
    </xdr:sp>
    <xdr:clientData/>
  </xdr:twoCellAnchor>
  <xdr:twoCellAnchor>
    <xdr:from>
      <xdr:col>26</xdr:col>
      <xdr:colOff>180976</xdr:colOff>
      <xdr:row>9</xdr:row>
      <xdr:rowOff>1</xdr:rowOff>
    </xdr:from>
    <xdr:to>
      <xdr:col>29</xdr:col>
      <xdr:colOff>142875</xdr:colOff>
      <xdr:row>18</xdr:row>
      <xdr:rowOff>1</xdr:rowOff>
    </xdr:to>
    <xdr:graphicFrame macro="">
      <xdr:nvGraphicFramePr>
        <xdr:cNvPr id="7" name="Chart 6">
          <a:extLst>
            <a:ext uri="{FF2B5EF4-FFF2-40B4-BE49-F238E27FC236}">
              <a16:creationId xmlns:a16="http://schemas.microsoft.com/office/drawing/2014/main" id="{D16287D6-58B4-4200-A592-8693E703D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266701</xdr:colOff>
      <xdr:row>9</xdr:row>
      <xdr:rowOff>76200</xdr:rowOff>
    </xdr:from>
    <xdr:to>
      <xdr:col>14</xdr:col>
      <xdr:colOff>285751</xdr:colOff>
      <xdr:row>21</xdr:row>
      <xdr:rowOff>38100</xdr:rowOff>
    </xdr:to>
    <xdr:graphicFrame macro="">
      <xdr:nvGraphicFramePr>
        <xdr:cNvPr id="11" name="Chart 10">
          <a:extLst>
            <a:ext uri="{FF2B5EF4-FFF2-40B4-BE49-F238E27FC236}">
              <a16:creationId xmlns:a16="http://schemas.microsoft.com/office/drawing/2014/main" id="{EFC18AE3-AFA4-453C-9257-885F7A65E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47625</xdr:colOff>
      <xdr:row>9</xdr:row>
      <xdr:rowOff>28574</xdr:rowOff>
    </xdr:from>
    <xdr:to>
      <xdr:col>25</xdr:col>
      <xdr:colOff>38100</xdr:colOff>
      <xdr:row>21</xdr:row>
      <xdr:rowOff>85725</xdr:rowOff>
    </xdr:to>
    <xdr:graphicFrame macro="">
      <xdr:nvGraphicFramePr>
        <xdr:cNvPr id="12" name="Chart 11">
          <a:extLst>
            <a:ext uri="{FF2B5EF4-FFF2-40B4-BE49-F238E27FC236}">
              <a16:creationId xmlns:a16="http://schemas.microsoft.com/office/drawing/2014/main" id="{BA886036-FAF3-46EB-8EC1-25901BE3F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228600</xdr:colOff>
      <xdr:row>9</xdr:row>
      <xdr:rowOff>38100</xdr:rowOff>
    </xdr:from>
    <xdr:to>
      <xdr:col>23</xdr:col>
      <xdr:colOff>285750</xdr:colOff>
      <xdr:row>11</xdr:row>
      <xdr:rowOff>85725</xdr:rowOff>
    </xdr:to>
    <xdr:sp macro="" textlink="">
      <xdr:nvSpPr>
        <xdr:cNvPr id="13" name="TextBox 12">
          <a:extLst>
            <a:ext uri="{FF2B5EF4-FFF2-40B4-BE49-F238E27FC236}">
              <a16:creationId xmlns:a16="http://schemas.microsoft.com/office/drawing/2014/main" id="{2EA454F6-31AF-654C-09C5-840BE2E91340}"/>
            </a:ext>
          </a:extLst>
        </xdr:cNvPr>
        <xdr:cNvSpPr txBox="1"/>
      </xdr:nvSpPr>
      <xdr:spPr>
        <a:xfrm>
          <a:off x="11201400" y="1752600"/>
          <a:ext cx="3105150" cy="428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Elephant" panose="02020904090505020303" pitchFamily="18" charset="0"/>
            </a:rPr>
            <a:t>Best seller</a:t>
          </a:r>
        </a:p>
      </xdr:txBody>
    </xdr:sp>
    <xdr:clientData/>
  </xdr:twoCellAnchor>
  <xdr:twoCellAnchor>
    <xdr:from>
      <xdr:col>20</xdr:col>
      <xdr:colOff>304801</xdr:colOff>
      <xdr:row>22</xdr:row>
      <xdr:rowOff>133349</xdr:rowOff>
    </xdr:from>
    <xdr:to>
      <xdr:col>26</xdr:col>
      <xdr:colOff>523875</xdr:colOff>
      <xdr:row>34</xdr:row>
      <xdr:rowOff>152398</xdr:rowOff>
    </xdr:to>
    <xdr:graphicFrame macro="">
      <xdr:nvGraphicFramePr>
        <xdr:cNvPr id="14" name="Chart 13">
          <a:extLst>
            <a:ext uri="{FF2B5EF4-FFF2-40B4-BE49-F238E27FC236}">
              <a16:creationId xmlns:a16="http://schemas.microsoft.com/office/drawing/2014/main" id="{D1671535-A959-43A3-8A7C-EBBC7E07F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257175</xdr:colOff>
      <xdr:row>22</xdr:row>
      <xdr:rowOff>142876</xdr:rowOff>
    </xdr:from>
    <xdr:to>
      <xdr:col>11</xdr:col>
      <xdr:colOff>228599</xdr:colOff>
      <xdr:row>34</xdr:row>
      <xdr:rowOff>123826</xdr:rowOff>
    </xdr:to>
    <xdr:graphicFrame macro="">
      <xdr:nvGraphicFramePr>
        <xdr:cNvPr id="15" name="Chart 14">
          <a:extLst>
            <a:ext uri="{FF2B5EF4-FFF2-40B4-BE49-F238E27FC236}">
              <a16:creationId xmlns:a16="http://schemas.microsoft.com/office/drawing/2014/main" id="{CF6B77E0-887A-44DB-BF5C-CC6466406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104775</xdr:colOff>
      <xdr:row>22</xdr:row>
      <xdr:rowOff>76200</xdr:rowOff>
    </xdr:from>
    <xdr:to>
      <xdr:col>10</xdr:col>
      <xdr:colOff>419100</xdr:colOff>
      <xdr:row>24</xdr:row>
      <xdr:rowOff>180975</xdr:rowOff>
    </xdr:to>
    <xdr:sp macro="" textlink="">
      <xdr:nvSpPr>
        <xdr:cNvPr id="18" name="TextBox 17">
          <a:extLst>
            <a:ext uri="{FF2B5EF4-FFF2-40B4-BE49-F238E27FC236}">
              <a16:creationId xmlns:a16="http://schemas.microsoft.com/office/drawing/2014/main" id="{2510C4D3-C56F-F98F-408C-F6DE41BB4B2F}"/>
            </a:ext>
          </a:extLst>
        </xdr:cNvPr>
        <xdr:cNvSpPr txBox="1"/>
      </xdr:nvSpPr>
      <xdr:spPr>
        <a:xfrm>
          <a:off x="3762375" y="4267200"/>
          <a:ext cx="2752725"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Elephant" panose="02020904090505020303" pitchFamily="18" charset="0"/>
            </a:rPr>
            <a:t>Orders By Area</a:t>
          </a:r>
        </a:p>
      </xdr:txBody>
    </xdr:sp>
    <xdr:clientData/>
  </xdr:twoCellAnchor>
  <xdr:twoCellAnchor>
    <xdr:from>
      <xdr:col>12</xdr:col>
      <xdr:colOff>342900</xdr:colOff>
      <xdr:row>22</xdr:row>
      <xdr:rowOff>133350</xdr:rowOff>
    </xdr:from>
    <xdr:to>
      <xdr:col>19</xdr:col>
      <xdr:colOff>57150</xdr:colOff>
      <xdr:row>34</xdr:row>
      <xdr:rowOff>85725</xdr:rowOff>
    </xdr:to>
    <xdr:graphicFrame macro="">
      <xdr:nvGraphicFramePr>
        <xdr:cNvPr id="25" name="Chart 24">
          <a:extLst>
            <a:ext uri="{FF2B5EF4-FFF2-40B4-BE49-F238E27FC236}">
              <a16:creationId xmlns:a16="http://schemas.microsoft.com/office/drawing/2014/main" id="{B35BF7A0-B7A0-4189-860E-7E5C84310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276225</xdr:colOff>
      <xdr:row>22</xdr:row>
      <xdr:rowOff>66675</xdr:rowOff>
    </xdr:from>
    <xdr:to>
      <xdr:col>19</xdr:col>
      <xdr:colOff>38100</xdr:colOff>
      <xdr:row>24</xdr:row>
      <xdr:rowOff>171450</xdr:rowOff>
    </xdr:to>
    <xdr:sp macro="" textlink="">
      <xdr:nvSpPr>
        <xdr:cNvPr id="26" name="TextBox 25">
          <a:extLst>
            <a:ext uri="{FF2B5EF4-FFF2-40B4-BE49-F238E27FC236}">
              <a16:creationId xmlns:a16="http://schemas.microsoft.com/office/drawing/2014/main" id="{181545E0-34C5-E37E-E59F-17CE2FF9A1EC}"/>
            </a:ext>
          </a:extLst>
        </xdr:cNvPr>
        <xdr:cNvSpPr txBox="1"/>
      </xdr:nvSpPr>
      <xdr:spPr>
        <a:xfrm>
          <a:off x="8810625" y="4257675"/>
          <a:ext cx="2809875"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Elephant" panose="02020904090505020303" pitchFamily="18" charset="0"/>
            </a:rPr>
            <a:t>The Number Of Individuals</a:t>
          </a:r>
          <a:r>
            <a:rPr lang="en-US" sz="1200" b="1" baseline="0">
              <a:latin typeface="Elephant" panose="02020904090505020303" pitchFamily="18" charset="0"/>
            </a:rPr>
            <a:t> And Companies You Deal With Misuo</a:t>
          </a:r>
          <a:endParaRPr lang="en-US" sz="1200" b="1">
            <a:latin typeface="Elephant" panose="02020904090505020303" pitchFamily="18" charset="0"/>
          </a:endParaRPr>
        </a:p>
      </xdr:txBody>
    </xdr:sp>
    <xdr:clientData/>
  </xdr:twoCellAnchor>
  <xdr:twoCellAnchor editAs="oneCell">
    <xdr:from>
      <xdr:col>0</xdr:col>
      <xdr:colOff>161922</xdr:colOff>
      <xdr:row>4</xdr:row>
      <xdr:rowOff>76201</xdr:rowOff>
    </xdr:from>
    <xdr:to>
      <xdr:col>3</xdr:col>
      <xdr:colOff>171450</xdr:colOff>
      <xdr:row>12</xdr:row>
      <xdr:rowOff>1</xdr:rowOff>
    </xdr:to>
    <mc:AlternateContent xmlns:mc="http://schemas.openxmlformats.org/markup-compatibility/2006" xmlns:a14="http://schemas.microsoft.com/office/drawing/2010/main">
      <mc:Choice Requires="a14">
        <xdr:graphicFrame macro="">
          <xdr:nvGraphicFramePr>
            <xdr:cNvPr id="28" name="العنوان">
              <a:extLst>
                <a:ext uri="{FF2B5EF4-FFF2-40B4-BE49-F238E27FC236}">
                  <a16:creationId xmlns:a16="http://schemas.microsoft.com/office/drawing/2014/main" id="{E294CDD7-DFB9-4A17-9EA9-D9DD300FD006}"/>
                </a:ext>
              </a:extLst>
            </xdr:cNvPr>
            <xdr:cNvGraphicFramePr/>
          </xdr:nvGraphicFramePr>
          <xdr:xfrm>
            <a:off x="0" y="0"/>
            <a:ext cx="0" cy="0"/>
          </xdr:xfrm>
          <a:graphic>
            <a:graphicData uri="http://schemas.microsoft.com/office/drawing/2010/slicer">
              <sle:slicer xmlns:sle="http://schemas.microsoft.com/office/drawing/2010/slicer" name="العنوان"/>
            </a:graphicData>
          </a:graphic>
        </xdr:graphicFrame>
      </mc:Choice>
      <mc:Fallback xmlns="">
        <xdr:sp macro="" textlink="">
          <xdr:nvSpPr>
            <xdr:cNvPr id="0" name=""/>
            <xdr:cNvSpPr>
              <a:spLocks noTextEdit="1"/>
            </xdr:cNvSpPr>
          </xdr:nvSpPr>
          <xdr:spPr>
            <a:xfrm>
              <a:off x="161922" y="838201"/>
              <a:ext cx="1838328"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11</xdr:row>
      <xdr:rowOff>190499</xdr:rowOff>
    </xdr:from>
    <xdr:to>
      <xdr:col>3</xdr:col>
      <xdr:colOff>219073</xdr:colOff>
      <xdr:row>18</xdr:row>
      <xdr:rowOff>47624</xdr:rowOff>
    </xdr:to>
    <mc:AlternateContent xmlns:mc="http://schemas.openxmlformats.org/markup-compatibility/2006" xmlns:a14="http://schemas.microsoft.com/office/drawing/2010/main">
      <mc:Choice Requires="a14">
        <xdr:graphicFrame macro="">
          <xdr:nvGraphicFramePr>
            <xdr:cNvPr id="29" name="الحالة">
              <a:extLst>
                <a:ext uri="{FF2B5EF4-FFF2-40B4-BE49-F238E27FC236}">
                  <a16:creationId xmlns:a16="http://schemas.microsoft.com/office/drawing/2014/main" id="{7416DFDA-3A69-4532-97BD-08E792D5414F}"/>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200025" y="2285999"/>
              <a:ext cx="1847848"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180974</xdr:colOff>
      <xdr:row>20</xdr:row>
      <xdr:rowOff>19049</xdr:rowOff>
    </xdr:from>
    <xdr:to>
      <xdr:col>3</xdr:col>
      <xdr:colOff>228600</xdr:colOff>
      <xdr:row>26</xdr:row>
      <xdr:rowOff>57150</xdr:rowOff>
    </xdr:to>
    <mc:AlternateContent xmlns:mc="http://schemas.openxmlformats.org/markup-compatibility/2006" xmlns:a14="http://schemas.microsoft.com/office/drawing/2010/main">
      <mc:Choice Requires="a14">
        <xdr:graphicFrame macro="">
          <xdr:nvGraphicFramePr>
            <xdr:cNvPr id="36" name="نوع المنتج">
              <a:extLst>
                <a:ext uri="{FF2B5EF4-FFF2-40B4-BE49-F238E27FC236}">
                  <a16:creationId xmlns:a16="http://schemas.microsoft.com/office/drawing/2014/main" id="{68C802CB-67F5-4C5C-9351-ED26FC23D010}"/>
                </a:ext>
              </a:extLst>
            </xdr:cNvPr>
            <xdr:cNvGraphicFramePr/>
          </xdr:nvGraphicFramePr>
          <xdr:xfrm>
            <a:off x="0" y="0"/>
            <a:ext cx="0" cy="0"/>
          </xdr:xfrm>
          <a:graphic>
            <a:graphicData uri="http://schemas.microsoft.com/office/drawing/2010/slicer">
              <sle:slicer xmlns:sle="http://schemas.microsoft.com/office/drawing/2010/slicer" name="نوع المنتج"/>
            </a:graphicData>
          </a:graphic>
        </xdr:graphicFrame>
      </mc:Choice>
      <mc:Fallback xmlns="">
        <xdr:sp macro="" textlink="">
          <xdr:nvSpPr>
            <xdr:cNvPr id="0" name=""/>
            <xdr:cNvSpPr>
              <a:spLocks noTextEdit="1"/>
            </xdr:cNvSpPr>
          </xdr:nvSpPr>
          <xdr:spPr>
            <a:xfrm>
              <a:off x="180974" y="3829049"/>
              <a:ext cx="1876426" cy="1181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133348</xdr:colOff>
      <xdr:row>26</xdr:row>
      <xdr:rowOff>76199</xdr:rowOff>
    </xdr:from>
    <xdr:to>
      <xdr:col>3</xdr:col>
      <xdr:colOff>219075</xdr:colOff>
      <xdr:row>34</xdr:row>
      <xdr:rowOff>9524</xdr:rowOff>
    </xdr:to>
    <mc:AlternateContent xmlns:mc="http://schemas.openxmlformats.org/markup-compatibility/2006" xmlns:a14="http://schemas.microsoft.com/office/drawing/2010/main">
      <mc:Choice Requires="a14">
        <xdr:graphicFrame macro="">
          <xdr:nvGraphicFramePr>
            <xdr:cNvPr id="37" name="منصة البيع ">
              <a:extLst>
                <a:ext uri="{FF2B5EF4-FFF2-40B4-BE49-F238E27FC236}">
                  <a16:creationId xmlns:a16="http://schemas.microsoft.com/office/drawing/2014/main" id="{A99ABEAB-7691-4DB3-913B-87ABF3F054FA}"/>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133348" y="5029199"/>
              <a:ext cx="1914527"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0.20214</cdr:x>
      <cdr:y>0</cdr:y>
    </cdr:from>
    <cdr:to>
      <cdr:x>0.84911</cdr:x>
      <cdr:y>0.18692</cdr:y>
    </cdr:to>
    <cdr:sp macro="" textlink="">
      <cdr:nvSpPr>
        <cdr:cNvPr id="2" name="TextBox 1">
          <a:extLst xmlns:a="http://schemas.openxmlformats.org/drawingml/2006/main">
            <a:ext uri="{FF2B5EF4-FFF2-40B4-BE49-F238E27FC236}">
              <a16:creationId xmlns:a16="http://schemas.microsoft.com/office/drawing/2014/main" id="{0A4A2C08-6D61-F340-6C22-69B6C375EE74}"/>
            </a:ext>
          </a:extLst>
        </cdr:cNvPr>
        <cdr:cNvSpPr txBox="1"/>
      </cdr:nvSpPr>
      <cdr:spPr>
        <a:xfrm xmlns:a="http://schemas.openxmlformats.org/drawingml/2006/main">
          <a:off x="1236110" y="0"/>
          <a:ext cx="3956229" cy="4201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2000" b="1" kern="1200">
              <a:latin typeface="Elephant" panose="02020904090505020303" pitchFamily="18" charset="0"/>
            </a:rPr>
            <a:t>Best color sold</a:t>
          </a:r>
        </a:p>
        <a:p xmlns:a="http://schemas.openxmlformats.org/drawingml/2006/main">
          <a:pPr algn="ctr"/>
          <a:endParaRPr lang="en-US" sz="2000" b="1" kern="1200">
            <a:latin typeface="Elephant" panose="02020904090505020303"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0.28256</cdr:x>
      <cdr:y>0.01653</cdr:y>
    </cdr:from>
    <cdr:to>
      <cdr:x>0.73956</cdr:x>
      <cdr:y>0.22727</cdr:y>
    </cdr:to>
    <cdr:sp macro="" textlink="">
      <cdr:nvSpPr>
        <cdr:cNvPr id="2" name="TextBox 1">
          <a:extLst xmlns:a="http://schemas.openxmlformats.org/drawingml/2006/main">
            <a:ext uri="{FF2B5EF4-FFF2-40B4-BE49-F238E27FC236}">
              <a16:creationId xmlns:a16="http://schemas.microsoft.com/office/drawing/2014/main" id="{4F53945E-1B51-84FE-C76A-9C8E6C146ED0}"/>
            </a:ext>
          </a:extLst>
        </cdr:cNvPr>
        <cdr:cNvSpPr txBox="1"/>
      </cdr:nvSpPr>
      <cdr:spPr>
        <a:xfrm xmlns:a="http://schemas.openxmlformats.org/drawingml/2006/main">
          <a:off x="1095374" y="38101"/>
          <a:ext cx="1771650" cy="485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0.28747</cdr:x>
      <cdr:y>0.00826</cdr:y>
    </cdr:from>
    <cdr:to>
      <cdr:x>0.76167</cdr:x>
      <cdr:y>0.16529</cdr:y>
    </cdr:to>
    <cdr:sp macro="" textlink="">
      <cdr:nvSpPr>
        <cdr:cNvPr id="3" name="TextBox 2">
          <a:extLst xmlns:a="http://schemas.openxmlformats.org/drawingml/2006/main">
            <a:ext uri="{FF2B5EF4-FFF2-40B4-BE49-F238E27FC236}">
              <a16:creationId xmlns:a16="http://schemas.microsoft.com/office/drawing/2014/main" id="{1ECBF6FE-D910-769C-B1F0-66D1E267EE22}"/>
            </a:ext>
          </a:extLst>
        </cdr:cNvPr>
        <cdr:cNvSpPr txBox="1"/>
      </cdr:nvSpPr>
      <cdr:spPr>
        <a:xfrm xmlns:a="http://schemas.openxmlformats.org/drawingml/2006/main">
          <a:off x="1114424" y="19051"/>
          <a:ext cx="1838325"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latin typeface="Elephant" panose="02020904090505020303" pitchFamily="18" charset="0"/>
            </a:rPr>
            <a:t>Sales By Platform</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 Europe" refreshedDate="45987.740858912039" createdVersion="8" refreshedVersion="8" minRefreshableVersion="3" recordCount="126" xr:uid="{B04D38E6-320E-404A-8B0E-69308EF66A0B}">
  <cacheSource type="worksheet">
    <worksheetSource name="store"/>
  </cacheSource>
  <cacheFields count="20">
    <cacheField name="أسم العميل" numFmtId="0">
      <sharedItems/>
    </cacheField>
    <cacheField name="نوع العميل" numFmtId="0">
      <sharedItems count="2">
        <s v="افراد"/>
        <s v="شركة"/>
      </sharedItems>
    </cacheField>
    <cacheField name="العنوان" numFmtId="0">
      <sharedItems containsBlank="1" count="60">
        <s v="الجيزة"/>
        <s v="الإسكندرية"/>
        <s v="الساحل  الشمالي"/>
        <s v="البحر الاحمر"/>
        <s v="القاهرة"/>
        <s v="القليوبية"/>
        <s v="اسيوط "/>
        <s v="السويس "/>
        <s v="االقاهرة" u="1"/>
        <s v="41 كومبوند جولدن جستس الدور 4 شقه 4" u="1"/>
        <s v="العجوزه - الجيزه" u="1"/>
        <s v="سموحه - اسكندريه" u="1"/>
        <s v="سيدى عبد الرحمن - الساحل الشمالى " u="1"/>
        <s v="الغردقه " u="1"/>
        <m u="1"/>
        <s v="التجمع الخامس" u="1"/>
        <s v="٦ اكتوبر الجيزه " u="1"/>
        <s v="العباسيه" u="1"/>
        <s v="العباسيه " u="1"/>
        <s v="مصر الجديده" u="1"/>
        <s v="المقطم " u="1"/>
        <s v="التجمع الخامس " u="1"/>
        <s v="مدينه نصر " u="1"/>
        <s v="القاهره الجديده" u="1"/>
        <s v="المعادى" u="1"/>
        <s v="مخزن اوسكار في القناطر " u="1"/>
        <s v="العين السخنه" u="1"/>
        <s v="الابراهيميه . الإسكندرية " u="1"/>
        <s v="القطاميه " u="1"/>
        <s v="١٨ شارع البحيري بولاق الدكرور الجيزه " u="1"/>
        <s v="الشروق القاهره " u="1"/>
        <s v="حدايق الاهرام " u="1"/>
        <s v="الشروق" u="1"/>
        <s v="لافيستا العين السخنه " u="1"/>
        <s v="القاهره الجديده " u="1"/>
        <s v="فيصل الجيزه" u="1"/>
        <s v="الشيخ زايد ٦ اكتوبر " u="1"/>
        <s v="الرحاب" u="1"/>
        <s v="العبور" u="1"/>
        <s v="الغردقه" u="1"/>
        <s v="EL-Maadi" u="1"/>
        <s v="Madinet Badr" u="1"/>
        <s v="المخزن ابو الغيط " u="1"/>
        <s v="اكتوبر الجيزه" u="1"/>
        <s v="التجمع" u="1"/>
        <s v="الزمالك" u="1"/>
        <s v="مخزن شيك هومز" u="1"/>
        <s v="أكتوبر " u="1"/>
        <s v="البطاش اسكندريه" u="1"/>
        <s v="المعرض مدينه نصر" u="1"/>
        <s v="أكتوبر الجيزه" u="1"/>
        <s v="الشيخ زايد اكتوبر" u="1"/>
        <s v="مدينتى" u="1"/>
        <s v="المخزن" u="1"/>
        <s v="٦ اكتوبر الجيزه" u="1"/>
        <s v="شبرا " u="1"/>
        <s v="جليم الإسكندرية " u="1"/>
        <s v="المندره اسكندريه" u="1"/>
        <s v="القطاميه" u="1"/>
        <s v="اب تاون كايرو التجمع " u="1"/>
      </sharedItems>
    </cacheField>
    <cacheField name="منصة البيع " numFmtId="0">
      <sharedItems count="13">
        <s v="هومزمارت"/>
        <s v="شيك هومز"/>
        <s v="فيس بوك"/>
        <s v="تاكى"/>
        <s v="اوسكار ريتن"/>
        <s v="السويس"/>
        <s v="منزلى"/>
        <s v="كيمت"/>
        <s v="شيك هومز " u="1"/>
        <s v="تاكى " u="1"/>
        <s v="اوسكار ريتن " u="1"/>
        <s v="منزلى " u="1"/>
        <s v="كيمت " u="1"/>
      </sharedItems>
    </cacheField>
    <cacheField name="نوع المنتج" numFmtId="0">
      <sharedItems count="12">
        <s v="سرير"/>
        <s v="ترابيزه"/>
        <s v="كنبة"/>
        <s v="ركنة"/>
        <s v="كرسى"/>
        <s v="شيزلونج"/>
        <s v="كنبة " u="1"/>
        <s v="سرير " u="1"/>
        <s v="تربيزه" u="1"/>
        <s v="كنبه" u="1"/>
        <s v="كنبه " u="1"/>
        <s v="ترابيزه " u="1"/>
      </sharedItems>
    </cacheField>
    <cacheField name="الصنف" numFmtId="0">
      <sharedItems containsBlank="1"/>
    </cacheField>
    <cacheField name="الاسم" numFmtId="0">
      <sharedItems/>
    </cacheField>
    <cacheField name="المقاس" numFmtId="0">
      <sharedItems containsMixedTypes="1" containsNumber="1" containsInteger="1" minValue="0" maxValue="160"/>
    </cacheField>
    <cacheField name="اللون المعدن" numFmtId="0">
      <sharedItems count="11">
        <s v="ازرق"/>
        <s v="غير معروف"/>
        <s v="رمادى"/>
        <s v="ابيض"/>
        <s v="اسود"/>
        <s v="دهبي"/>
        <s v="بنفسجى"/>
        <s v="اسود "/>
        <s v="ملون"/>
        <s v="بينك"/>
        <s v="نبيتى "/>
      </sharedItems>
    </cacheField>
    <cacheField name="لون القماش" numFmtId="0">
      <sharedItems containsMixedTypes="1" containsNumber="1" containsInteger="1" minValue="0" maxValue="0"/>
    </cacheField>
    <cacheField name="المنتج" numFmtId="0">
      <sharedItems/>
    </cacheField>
    <cacheField name="سعر البيع " numFmtId="1">
      <sharedItems containsString="0" containsBlank="1" containsNumber="1" minValue="4020" maxValue="22000"/>
    </cacheField>
    <cacheField name="طريقه الدفع " numFmtId="0">
      <sharedItems containsBlank="1" containsMixedTypes="1" containsNumber="1" minValue="1278.53" maxValue="22000"/>
    </cacheField>
    <cacheField name="مدة التسليم (الفعليه)" numFmtId="0">
      <sharedItems containsSemiMixedTypes="0" containsString="0" containsNumber="1" containsInteger="1" minValue="0" maxValue="59"/>
    </cacheField>
    <cacheField name="مدة التسليم (المفترضه)" numFmtId="0">
      <sharedItems containsSemiMixedTypes="0" containsString="0" containsNumber="1" containsInteger="1" minValue="0" maxValue="67"/>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المسئول عن التسليم" numFmtId="0">
      <sharedItems/>
    </cacheField>
    <cacheField name="الحالة" numFmtId="0">
      <sharedItems count="4">
        <s v="نم التسليم"/>
        <s v="فشل التسليم"/>
        <s v="لاغى"/>
        <s v="مرتجع"/>
      </sharedItems>
    </cacheField>
  </cacheFields>
  <extLst>
    <ext xmlns:x14="http://schemas.microsoft.com/office/spreadsheetml/2009/9/main" uri="{725AE2AE-9491-48be-B2B4-4EB974FC3084}">
      <x14:pivotCacheDefinition pivotCacheId="2025191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x v="0"/>
    <x v="0"/>
    <x v="0"/>
    <x v="0"/>
    <s v="منطبق"/>
    <s v="كيفنج"/>
    <n v="90"/>
    <x v="0"/>
    <s v="غير معروف"/>
    <s v="سرير منطبق الحديد ابيض والقماش ابيض "/>
    <n v="10160"/>
    <s v="مسبق الدفع"/>
    <n v="14"/>
    <n v="0"/>
    <d v="2024-07-27T00:00:00"/>
    <m/>
    <d v="2024-08-10T00:00:00"/>
    <s v="تم التسليم عن طريق شركه شحن "/>
    <x v="0"/>
  </r>
  <r>
    <s v="محمود"/>
    <x v="0"/>
    <x v="1"/>
    <x v="0"/>
    <x v="0"/>
    <s v="منطبق"/>
    <s v="غير معروف"/>
    <s v="غير معروف"/>
    <x v="1"/>
    <s v="غير معروف"/>
    <s v="سرير منطبق اسود والقماش اسود "/>
    <n v="10160"/>
    <n v="9749"/>
    <n v="14"/>
    <n v="0"/>
    <d v="2024-07-28T00:00:00"/>
    <m/>
    <d v="2024-08-11T00:00:00"/>
    <s v="تم التسليم عن طريق شركه شحن "/>
    <x v="0"/>
  </r>
  <r>
    <s v="سعيد"/>
    <x v="0"/>
    <x v="2"/>
    <x v="0"/>
    <x v="0"/>
    <s v="دورين"/>
    <s v="كيفنج"/>
    <n v="90"/>
    <x v="0"/>
    <s v="غير معروف"/>
    <s v="سرير كيفينج مقاس 90 لون ازرق "/>
    <n v="11455"/>
    <n v="10067.68"/>
    <n v="0"/>
    <n v="0"/>
    <d v="2024-07-27T00:00:00"/>
    <m/>
    <m/>
    <s v="فشل التسليم "/>
    <x v="1"/>
  </r>
  <r>
    <s v="ساندرا"/>
    <x v="0"/>
    <x v="3"/>
    <x v="0"/>
    <x v="1"/>
    <m/>
    <s v="غير معروف"/>
    <s v="غير معروف"/>
    <x v="1"/>
    <s v="غير معروف"/>
    <s v="ترابيزه قهوه متحركه "/>
    <n v="8642"/>
    <s v="مسبق الدفع"/>
    <n v="2"/>
    <n v="13"/>
    <d v="2024-08-25T00:00:00"/>
    <d v="2024-09-07T00:00:00"/>
    <d v="2024-08-27T00:00:00"/>
    <s v="تم التسليم عن طريق شركه شحن "/>
    <x v="0"/>
  </r>
  <r>
    <s v="زينا"/>
    <x v="0"/>
    <x v="2"/>
    <x v="0"/>
    <x v="0"/>
    <s v="دورين"/>
    <s v="نوفال"/>
    <n v="100"/>
    <x v="2"/>
    <s v="غير معروف"/>
    <s v="سرير نوفال متر رمادى "/>
    <n v="12833"/>
    <n v="12974.22"/>
    <n v="0"/>
    <n v="15"/>
    <d v="2024-08-16T00:00:00"/>
    <d v="2024-08-31T00:00:00"/>
    <m/>
    <s v="فشل التسليم "/>
    <x v="1"/>
  </r>
  <r>
    <s v="شيك هومز"/>
    <x v="1"/>
    <x v="0"/>
    <x v="1"/>
    <x v="2"/>
    <s v="4×1"/>
    <s v="غير معروف"/>
    <s v="غير معروف"/>
    <x v="1"/>
    <s v="غير معروف"/>
    <s v="كنبه سرير رمادى "/>
    <n v="14550"/>
    <s v="مسبق الدفع"/>
    <n v="22"/>
    <n v="20"/>
    <d v="2024-08-14T00:00:00"/>
    <d v="2024-09-03T00:00:00"/>
    <d v="2024-09-05T00:00:00"/>
    <s v="تم التسليم عن طريق شركه شحن "/>
    <x v="0"/>
  </r>
  <r>
    <s v="احمد"/>
    <x v="0"/>
    <x v="4"/>
    <x v="2"/>
    <x v="2"/>
    <s v="4×1"/>
    <s v="غير معروف"/>
    <s v="غير معروف"/>
    <x v="1"/>
    <s v="غير معروف"/>
    <s v="كنبه سرير رمادى "/>
    <n v="12000"/>
    <n v="12000"/>
    <n v="2"/>
    <n v="3"/>
    <d v="2024-08-17T00:00:00"/>
    <d v="2024-08-20T00:00:00"/>
    <d v="2024-08-19T00:00:00"/>
    <s v="تم تسليم العميل عن طريق شركه شحن "/>
    <x v="0"/>
  </r>
  <r>
    <s v="yilmaz"/>
    <x v="0"/>
    <x v="0"/>
    <x v="0"/>
    <x v="0"/>
    <s v="فردى"/>
    <s v="غير معروف"/>
    <s v="غير معروف"/>
    <x v="1"/>
    <s v="غير معروف"/>
    <s v="سرير فردى ابيض "/>
    <n v="7228"/>
    <s v="مسبق الدفع"/>
    <n v="16"/>
    <n v="9"/>
    <d v="2024-08-25T00:00:00"/>
    <d v="2024-09-03T00:00:00"/>
    <d v="2024-09-10T00:00:00"/>
    <s v="تم التسليم عن طريق شركه شحن "/>
    <x v="0"/>
  </r>
  <r>
    <s v="تاكى"/>
    <x v="1"/>
    <x v="4"/>
    <x v="3"/>
    <x v="3"/>
    <s v="ركنة بسرير"/>
    <s v="غير معروف"/>
    <s v="غير معروف"/>
    <x v="1"/>
    <s v="غير معروف"/>
    <s v="ركنه  بسرير"/>
    <n v="22000"/>
    <n v="22000"/>
    <n v="29"/>
    <n v="13"/>
    <d v="2024-08-19T00:00:00"/>
    <d v="2024-09-01T00:00:00"/>
    <d v="2024-09-17T00:00:00"/>
    <s v="غير معروف"/>
    <x v="0"/>
  </r>
  <r>
    <s v="تاكى"/>
    <x v="1"/>
    <x v="4"/>
    <x v="3"/>
    <x v="2"/>
    <s v="سحارة"/>
    <s v="غير معروف"/>
    <s v="غير معروف"/>
    <x v="1"/>
    <s v="غير معروف"/>
    <s v="٢ كنبه سحاره بمخدع"/>
    <n v="16000"/>
    <n v="16000"/>
    <n v="0"/>
    <n v="0"/>
    <m/>
    <m/>
    <m/>
    <s v="ملغى "/>
    <x v="2"/>
  </r>
  <r>
    <s v="تاكى"/>
    <x v="1"/>
    <x v="4"/>
    <x v="3"/>
    <x v="2"/>
    <s v="سحارة"/>
    <s v="غير معروف"/>
    <s v="غير معروف"/>
    <x v="1"/>
    <s v="غير معروف"/>
    <s v="٢ كنبه سحاره بدون مخدع "/>
    <n v="6000"/>
    <n v="12000"/>
    <n v="23"/>
    <n v="21"/>
    <d v="2024-08-25T00:00:00"/>
    <d v="2024-09-15T00:00:00"/>
    <d v="2024-09-17T00:00:00"/>
    <s v="تم التسليم محمود على "/>
    <x v="0"/>
  </r>
  <r>
    <s v="تاكى"/>
    <x v="1"/>
    <x v="4"/>
    <x v="3"/>
    <x v="2"/>
    <s v="سحارة"/>
    <s v="غير معروف"/>
    <s v="غير معروف"/>
    <x v="1"/>
    <s v="غير معروف"/>
    <s v="٢ كنبه سحاره بدون مخدع "/>
    <n v="6000"/>
    <n v="12000"/>
    <n v="23"/>
    <n v="21"/>
    <d v="2024-08-25T00:00:00"/>
    <d v="2024-09-15T00:00:00"/>
    <d v="2024-09-17T00:00:00"/>
    <s v="تم التسليم محمود على "/>
    <x v="0"/>
  </r>
  <r>
    <s v="على رشوان"/>
    <x v="0"/>
    <x v="4"/>
    <x v="0"/>
    <x v="0"/>
    <s v="دورين"/>
    <s v="نوفال"/>
    <n v="80"/>
    <x v="3"/>
    <s v="اسود"/>
    <s v="سرير نوفال ابيض مقاس ٨٠"/>
    <n v="10499"/>
    <n v="8924"/>
    <n v="7"/>
    <n v="15"/>
    <d v="2024-09-01T00:00:00"/>
    <d v="2024-09-16T00:00:00"/>
    <d v="2024-09-08T00:00:00"/>
    <s v="تم التسليم عن طريق شركه شحن "/>
    <x v="0"/>
  </r>
  <r>
    <s v="احمد فخرى"/>
    <x v="0"/>
    <x v="0"/>
    <x v="0"/>
    <x v="0"/>
    <s v="فردى"/>
    <s v="نوفال"/>
    <n v="80"/>
    <x v="3"/>
    <s v="اسود"/>
    <s v="سرير فردى خشب موسكى الحديد ابيض مقاس ٨٠"/>
    <n v="7295"/>
    <n v="5895"/>
    <n v="0"/>
    <n v="9"/>
    <d v="2024-09-05T00:00:00"/>
    <d v="2024-09-14T00:00:00"/>
    <m/>
    <s v="غير معروف"/>
    <x v="2"/>
  </r>
  <r>
    <s v="لينا"/>
    <x v="0"/>
    <x v="4"/>
    <x v="0"/>
    <x v="1"/>
    <s v="2 ميكانزم"/>
    <s v="كيفنج"/>
    <n v="120"/>
    <x v="4"/>
    <s v="اسود"/>
    <s v="ترابيزه قهوه علويه جديده "/>
    <n v="7849"/>
    <s v="مسبق الدفع"/>
    <n v="21"/>
    <n v="12"/>
    <d v="2024-09-04T00:00:00"/>
    <d v="2024-09-16T00:00:00"/>
    <d v="2024-09-25T00:00:00"/>
    <s v="تم التسليم عن طريق شركه شحن "/>
    <x v="3"/>
  </r>
  <r>
    <s v="فيصل نعيم"/>
    <x v="0"/>
    <x v="4"/>
    <x v="4"/>
    <x v="0"/>
    <s v="دورين"/>
    <s v="كيفنج"/>
    <n v="120"/>
    <x v="4"/>
    <s v="اسود"/>
    <s v="٢ سرير كيفنج ١٢٠ اسود "/>
    <n v="6180"/>
    <n v="9700"/>
    <n v="12"/>
    <n v="13"/>
    <d v="2024-09-03T00:00:00"/>
    <d v="2024-09-16T00:00:00"/>
    <d v="2024-09-15T00:00:00"/>
    <s v="تم التسليم محمود على "/>
    <x v="0"/>
  </r>
  <r>
    <s v="فيصل نعيم"/>
    <x v="0"/>
    <x v="4"/>
    <x v="4"/>
    <x v="0"/>
    <s v="دورين"/>
    <s v="كيفنج"/>
    <n v="120"/>
    <x v="4"/>
    <s v="اسود"/>
    <s v="٢ سرير كيفنج ١٢٠ اسود "/>
    <n v="6180"/>
    <n v="9700"/>
    <n v="12"/>
    <n v="13"/>
    <d v="2024-09-03T00:00:00"/>
    <d v="2024-09-16T00:00:00"/>
    <d v="2024-09-15T00:00:00"/>
    <s v="تم التسليم محمود على "/>
    <x v="0"/>
  </r>
  <r>
    <s v="ellho elkafy"/>
    <x v="0"/>
    <x v="4"/>
    <x v="0"/>
    <x v="0"/>
    <s v="دورين"/>
    <s v="كينج"/>
    <n v="80"/>
    <x v="3"/>
    <s v="اسود"/>
    <s v="سرير كينج ابيض مقاس ٨٠ التصميم الجديد "/>
    <n v="11199"/>
    <n v="11310"/>
    <n v="0"/>
    <n v="14"/>
    <d v="2024-09-04T00:00:00"/>
    <d v="2024-09-18T00:00:00"/>
    <m/>
    <s v="غير معروف"/>
    <x v="2"/>
  </r>
  <r>
    <s v="احمد"/>
    <x v="0"/>
    <x v="4"/>
    <x v="0"/>
    <x v="0"/>
    <s v="فردى"/>
    <s v="فورجينا"/>
    <n v="80"/>
    <x v="3"/>
    <s v="رمادى"/>
    <s v="٤سرير فردى خشب موسكى الحديد ابيض مقاس ٨٠"/>
    <n v="7987"/>
    <s v="مسبق الدفع"/>
    <n v="15"/>
    <n v="10"/>
    <d v="2024-09-06T00:00:00"/>
    <d v="2024-09-16T00:00:00"/>
    <d v="2024-09-21T00:00:00"/>
    <s v="تم التسليم محمود على "/>
    <x v="0"/>
  </r>
  <r>
    <s v="تاكى"/>
    <x v="1"/>
    <x v="4"/>
    <x v="3"/>
    <x v="4"/>
    <s v="فنسيا"/>
    <s v="فورجينا"/>
    <n v="80"/>
    <x v="3"/>
    <s v="اسود"/>
    <s v="٢ فوتيه فنيسيا "/>
    <n v="9300"/>
    <n v="9300"/>
    <n v="13"/>
    <n v="11"/>
    <d v="2024-09-04T00:00:00"/>
    <d v="2024-09-15T00:00:00"/>
    <d v="2024-09-17T00:00:00"/>
    <s v="تم التسليم محمود على "/>
    <x v="0"/>
  </r>
  <r>
    <s v="احمد"/>
    <x v="0"/>
    <x v="4"/>
    <x v="0"/>
    <x v="0"/>
    <s v="فردى"/>
    <s v="فورجينا"/>
    <n v="80"/>
    <x v="3"/>
    <s v="رمادى"/>
    <s v="٤سرير فردى خشب موسكى الحديد ابيض مقاس ٨٠"/>
    <n v="7987"/>
    <s v="مسبق الدفع"/>
    <n v="15"/>
    <n v="10"/>
    <d v="2024-09-06T00:00:00"/>
    <d v="2024-09-16T00:00:00"/>
    <d v="2024-09-21T00:00:00"/>
    <s v="تم التسليم محمود على "/>
    <x v="0"/>
  </r>
  <r>
    <s v="احمد"/>
    <x v="0"/>
    <x v="4"/>
    <x v="0"/>
    <x v="0"/>
    <s v="فردى"/>
    <s v="فورجينا"/>
    <n v="80"/>
    <x v="3"/>
    <s v="اسود"/>
    <s v="٤سرير فردى خشب موسكى الحديد ابيض مقاس ٨٠"/>
    <n v="7987"/>
    <s v="مسبق الدفع"/>
    <n v="15"/>
    <n v="10"/>
    <d v="2024-09-06T00:00:00"/>
    <d v="2024-09-16T00:00:00"/>
    <d v="2024-09-21T00:00:00"/>
    <s v="تم التسليم محمود على "/>
    <x v="0"/>
  </r>
  <r>
    <s v="احمد"/>
    <x v="0"/>
    <x v="4"/>
    <x v="0"/>
    <x v="0"/>
    <s v="فردى"/>
    <s v="فورجينا"/>
    <n v="80"/>
    <x v="3"/>
    <s v="رمادى"/>
    <s v="٤سرير فردى خشب موسكى الحديد ابيض مقاس ٨٠"/>
    <n v="7987"/>
    <s v="مسبق الدفع"/>
    <n v="15"/>
    <n v="10"/>
    <d v="2024-09-06T00:00:00"/>
    <d v="2024-09-16T00:00:00"/>
    <d v="2024-09-21T00:00:00"/>
    <s v="تم التسليم محمود على "/>
    <x v="0"/>
  </r>
  <r>
    <s v="صفاء"/>
    <x v="0"/>
    <x v="4"/>
    <x v="0"/>
    <x v="1"/>
    <s v="2 ميكانزم"/>
    <s v="كينج"/>
    <n v="100"/>
    <x v="3"/>
    <s v="اسود"/>
    <s v="ترابيزه قهوه علويه جديده "/>
    <n v="8849"/>
    <s v="مسبق الدفع"/>
    <n v="0"/>
    <n v="43"/>
    <d v="2024-09-03T00:00:00"/>
    <d v="2024-10-16T00:00:00"/>
    <m/>
    <s v="غير معروف"/>
    <x v="2"/>
  </r>
  <r>
    <s v="حسن حازم"/>
    <x v="0"/>
    <x v="0"/>
    <x v="0"/>
    <x v="0"/>
    <s v="فردى"/>
    <s v="اسبانى"/>
    <n v="120"/>
    <x v="3"/>
    <s v="رمادى"/>
    <s v="سرير اسبانى ابيض ١٢٠"/>
    <n v="10987"/>
    <s v="مسبق الدفع"/>
    <n v="12"/>
    <n v="8"/>
    <d v="2024-09-09T00:00:00"/>
    <d v="2024-09-17T00:00:00"/>
    <d v="2024-09-21T00:00:00"/>
    <s v="تم التسليم محمود على "/>
    <x v="0"/>
  </r>
  <r>
    <s v="شيك هومز"/>
    <x v="1"/>
    <x v="0"/>
    <x v="1"/>
    <x v="0"/>
    <s v="دورين"/>
    <s v="كينج"/>
    <n v="100"/>
    <x v="3"/>
    <s v="اسود"/>
    <s v="سرير كينج ابيض "/>
    <n v="9208"/>
    <n v="5781.75"/>
    <n v="20"/>
    <n v="18"/>
    <d v="2024-09-01T00:00:00"/>
    <d v="2024-09-19T00:00:00"/>
    <d v="2024-09-21T00:00:00"/>
    <s v="تم التسليم محمود على "/>
    <x v="0"/>
  </r>
  <r>
    <s v="شيك هومز"/>
    <x v="1"/>
    <x v="0"/>
    <x v="1"/>
    <x v="0"/>
    <s v="دورين"/>
    <s v="كينج"/>
    <n v="100"/>
    <x v="4"/>
    <s v="رمادى"/>
    <s v="سرير كينج اسود "/>
    <n v="9208"/>
    <n v="1278.53"/>
    <n v="20"/>
    <n v="18"/>
    <d v="2024-09-01T00:00:00"/>
    <d v="2024-09-19T00:00:00"/>
    <d v="2024-09-21T00:00:00"/>
    <s v="تم التسليم محمود على "/>
    <x v="0"/>
  </r>
  <r>
    <s v="اوسكار راتن"/>
    <x v="1"/>
    <x v="5"/>
    <x v="4"/>
    <x v="0"/>
    <s v="فردى"/>
    <s v="فورجينا"/>
    <n v="120"/>
    <x v="3"/>
    <s v="اسود"/>
    <s v="٢ سريرفورجينا خشب موسكى ابيض مقاس ١٢٠"/>
    <n v="4020"/>
    <s v="حساب شركه"/>
    <n v="10"/>
    <n v="9"/>
    <d v="2024-09-12T00:00:00"/>
    <d v="2024-09-21T00:00:00"/>
    <d v="2024-09-22T00:00:00"/>
    <s v="تم التسليم محمود على "/>
    <x v="0"/>
  </r>
  <r>
    <s v="اوسكار راتن"/>
    <x v="1"/>
    <x v="5"/>
    <x v="4"/>
    <x v="0"/>
    <s v="فردى"/>
    <s v="فورجينا"/>
    <n v="120"/>
    <x v="3"/>
    <s v="رمادى"/>
    <s v="٢ سريرفورجينا خشب موسكى ابيض مقاس ١٢٠"/>
    <n v="4020"/>
    <s v="حساب شركه"/>
    <n v="10"/>
    <n v="9"/>
    <d v="2024-09-12T00:00:00"/>
    <d v="2024-09-21T00:00:00"/>
    <d v="2024-09-22T00:00:00"/>
    <s v="تم التسليم محمود على "/>
    <x v="0"/>
  </r>
  <r>
    <s v="اوسكار راتن"/>
    <x v="1"/>
    <x v="5"/>
    <x v="4"/>
    <x v="0"/>
    <s v="فردى"/>
    <s v="ارفيل"/>
    <n v="120"/>
    <x v="4"/>
    <s v="اسود"/>
    <s v="٢ سرير ارفيل ١٢٠ اسود "/>
    <n v="4020"/>
    <s v="مسبق الدفع "/>
    <n v="10"/>
    <n v="9"/>
    <d v="2024-09-12T00:00:00"/>
    <d v="2024-09-21T00:00:00"/>
    <d v="2024-09-22T00:00:00"/>
    <s v="تم التسليم محمود على "/>
    <x v="0"/>
  </r>
  <r>
    <s v="اوسكار راتن"/>
    <x v="1"/>
    <x v="5"/>
    <x v="4"/>
    <x v="0"/>
    <s v="فردى"/>
    <s v="ارفيل"/>
    <n v="120"/>
    <x v="4"/>
    <s v="رمادى"/>
    <s v="٢ سرير ارفيل ١٢٠ اسود "/>
    <n v="4020"/>
    <s v="مسبق الدفع "/>
    <n v="10"/>
    <n v="9"/>
    <d v="2024-09-12T00:00:00"/>
    <d v="2024-09-21T00:00:00"/>
    <d v="2024-09-22T00:00:00"/>
    <s v="تم التسليم محمود على "/>
    <x v="0"/>
  </r>
  <r>
    <s v="صفاء الحكيم"/>
    <x v="0"/>
    <x v="3"/>
    <x v="0"/>
    <x v="0"/>
    <s v="منطبق"/>
    <s v="كيفنج"/>
    <n v="100"/>
    <x v="4"/>
    <s v="اسود"/>
    <s v="سرير منطببق اسود وقماش اسود"/>
    <n v="9399"/>
    <s v="مسبق الدفع "/>
    <n v="0"/>
    <n v="8"/>
    <d v="2024-09-14T00:00:00"/>
    <d v="2024-09-22T00:00:00"/>
    <m/>
    <s v="فشل التسليم "/>
    <x v="1"/>
  </r>
  <r>
    <s v="يوسف شناوى"/>
    <x v="0"/>
    <x v="1"/>
    <x v="0"/>
    <x v="1"/>
    <s v="رف سحاب"/>
    <s v="اسبانى"/>
    <n v="120"/>
    <x v="4"/>
    <s v="رمادى"/>
    <s v="ترابيزه قهوه علويه برف سحاب "/>
    <n v="8349"/>
    <s v="مسبق الدفع "/>
    <n v="10"/>
    <n v="8"/>
    <d v="2024-09-14T00:00:00"/>
    <d v="2024-09-22T00:00:00"/>
    <d v="2024-09-24T00:00:00"/>
    <s v="تم التسليم عن طريق شركه شحن "/>
    <x v="0"/>
  </r>
  <r>
    <s v="حاتم العيسوي"/>
    <x v="0"/>
    <x v="0"/>
    <x v="0"/>
    <x v="0"/>
    <s v="منطبق"/>
    <s v="كيفنج"/>
    <n v="100"/>
    <x v="4"/>
    <s v="اسود"/>
    <s v="سرير منطبق اسود حديد وقماش"/>
    <n v="9399"/>
    <s v="مسبق الدفع"/>
    <n v="17"/>
    <n v="11"/>
    <d v="2024-09-13T00:00:00"/>
    <d v="2024-09-24T00:00:00"/>
    <d v="2024-09-30T00:00:00"/>
    <s v="تم التسليم عن طريق شركه شحن "/>
    <x v="0"/>
  </r>
  <r>
    <s v="رنا"/>
    <x v="0"/>
    <x v="4"/>
    <x v="0"/>
    <x v="1"/>
    <s v="2 ميكانزم"/>
    <s v="اسبانى"/>
    <n v="120"/>
    <x v="4"/>
    <s v="رمادى"/>
    <s v="ترابيزه قهوه علويه جديده "/>
    <n v="7849"/>
    <n v="7928"/>
    <n v="0"/>
    <n v="14"/>
    <d v="2024-09-12T00:00:00"/>
    <d v="2024-09-26T00:00:00"/>
    <m/>
    <s v="تم التسليم عن طريق شركه شحن "/>
    <x v="0"/>
  </r>
  <r>
    <s v="عبير نور الدين"/>
    <x v="0"/>
    <x v="0"/>
    <x v="2"/>
    <x v="0"/>
    <s v="ثلاثه ادوار"/>
    <s v="كيفنج"/>
    <n v="100"/>
    <x v="4"/>
    <s v="رمادى"/>
    <s v="سرير ٣ ادورا اسود مقاس ١٠٠ "/>
    <n v="9450"/>
    <n v="9450"/>
    <n v="0"/>
    <n v="14"/>
    <d v="2024-09-12T00:00:00"/>
    <d v="2024-09-26T00:00:00"/>
    <m/>
    <s v="غير معروف"/>
    <x v="2"/>
  </r>
  <r>
    <s v="اسراء ابو العنين"/>
    <x v="0"/>
    <x v="4"/>
    <x v="0"/>
    <x v="0"/>
    <s v="فردى"/>
    <s v="اسبانى"/>
    <n v="120"/>
    <x v="4"/>
    <s v="رمادى"/>
    <s v="سرير اسبانى اسود مقاس ١٢٠"/>
    <n v="7460"/>
    <s v="مسبق الدفع"/>
    <n v="20"/>
    <n v="13"/>
    <d v="2024-09-13T00:00:00"/>
    <d v="2024-09-26T00:00:00"/>
    <d v="2024-10-03T00:00:00"/>
    <s v="تم التسليم محمود على "/>
    <x v="0"/>
  </r>
  <r>
    <s v="وائل صادق"/>
    <x v="0"/>
    <x v="4"/>
    <x v="0"/>
    <x v="0"/>
    <s v="فردى"/>
    <s v="كورين"/>
    <n v="140"/>
    <x v="5"/>
    <s v="رمادى"/>
    <s v="سرير كوين مقاس ١٤٠ دهبي ورمادى "/>
    <n v="9528"/>
    <s v="مسبق الدفع"/>
    <n v="20"/>
    <n v="13"/>
    <d v="2024-09-13T00:00:00"/>
    <d v="2024-09-26T00:00:00"/>
    <d v="2024-10-03T00:00:00"/>
    <s v="تم التسليم محمود على "/>
    <x v="0"/>
  </r>
  <r>
    <s v="حسن مغرب"/>
    <x v="0"/>
    <x v="0"/>
    <x v="0"/>
    <x v="0"/>
    <s v="دورين"/>
    <s v="كيفنج"/>
    <n v="120"/>
    <x v="2"/>
    <s v="رمادى"/>
    <s v="سرير كيفنج ١٢٠ رمادى "/>
    <n v="12999"/>
    <s v="مسبق الدفع"/>
    <n v="18"/>
    <n v="13"/>
    <d v="2024-09-14T00:00:00"/>
    <d v="2024-09-27T00:00:00"/>
    <d v="2024-10-02T00:00:00"/>
    <s v="تم التسليم محمود على "/>
    <x v="0"/>
  </r>
  <r>
    <s v="على السيد"/>
    <x v="0"/>
    <x v="4"/>
    <x v="0"/>
    <x v="0"/>
    <s v="دورين"/>
    <s v="نوفال"/>
    <n v="90"/>
    <x v="4"/>
    <s v="اسود"/>
    <s v="سرير نوفال  ٩٠ اسود "/>
    <n v="5999"/>
    <s v="مسبق الدفع"/>
    <n v="0"/>
    <n v="17"/>
    <d v="2024-09-12T00:00:00"/>
    <d v="2024-09-29T00:00:00"/>
    <m/>
    <s v="غير معروف"/>
    <x v="2"/>
  </r>
  <r>
    <s v="هشام بسيونى"/>
    <x v="0"/>
    <x v="0"/>
    <x v="0"/>
    <x v="0"/>
    <s v="دورين"/>
    <s v="كيفنج"/>
    <n v="100"/>
    <x v="4"/>
    <s v="رمادى"/>
    <s v="            ٢ سرير كيفنج ١٠٠ اسود "/>
    <n v="11949"/>
    <n v="10749"/>
    <n v="20"/>
    <n v="17"/>
    <d v="2024-09-12T00:00:00"/>
    <d v="2024-09-29T00:00:00"/>
    <d v="2024-10-02T00:00:00"/>
    <s v="تم التسليم محمود على "/>
    <x v="0"/>
  </r>
  <r>
    <s v="هشام بسيونى"/>
    <x v="0"/>
    <x v="0"/>
    <x v="0"/>
    <x v="0"/>
    <s v="دورين"/>
    <s v="كيفنج"/>
    <n v="100"/>
    <x v="4"/>
    <s v="اسود"/>
    <s v="            ٢ سرير كيفنج ١٠٠ اسود "/>
    <n v="11949"/>
    <n v="10749"/>
    <n v="20"/>
    <n v="17"/>
    <d v="2024-09-12T00:00:00"/>
    <d v="2024-09-29T00:00:00"/>
    <d v="2024-10-02T00:00:00"/>
    <s v="تم التسليم محمود على "/>
    <x v="0"/>
  </r>
  <r>
    <s v="احمد"/>
    <x v="0"/>
    <x v="4"/>
    <x v="0"/>
    <x v="0"/>
    <s v="ثلاثه ادوار"/>
    <s v="كيفنج"/>
    <n v="80"/>
    <x v="3"/>
    <s v="رمادى"/>
    <s v="سرير ٣ ادوار ابيض مقاس ٨٠ ابيض "/>
    <n v="16599"/>
    <s v="مسبق الدفع"/>
    <n v="20"/>
    <n v="17"/>
    <d v="2024-09-13T00:00:00"/>
    <d v="2024-09-30T00:00:00"/>
    <d v="2024-10-03T00:00:00"/>
    <s v="تم التسليم محمود على "/>
    <x v="0"/>
  </r>
  <r>
    <s v="ساره وجيه"/>
    <x v="0"/>
    <x v="3"/>
    <x v="0"/>
    <x v="0"/>
    <s v="دورين"/>
    <s v="كيفنج"/>
    <n v="80"/>
    <x v="3"/>
    <s v="اسود"/>
    <s v="سرير كيفنج دورين مقاس ٨٠ ابيض "/>
    <n v="10999"/>
    <s v="مسبق الدفع"/>
    <n v="33"/>
    <n v="17"/>
    <d v="2024-09-13T00:00:00"/>
    <d v="2024-09-30T00:00:00"/>
    <d v="2024-10-16T00:00:00"/>
    <s v="تم التسليم عن طريق شركه شحن "/>
    <x v="0"/>
  </r>
  <r>
    <s v="مها"/>
    <x v="0"/>
    <x v="3"/>
    <x v="0"/>
    <x v="0"/>
    <s v="دورين"/>
    <s v="كيفنج"/>
    <n v="140"/>
    <x v="0"/>
    <s v="رمادى"/>
    <s v="سرير استيل ازرق مقاس ١٤٠"/>
    <n v="13099"/>
    <s v="مسبق الدفع"/>
    <n v="20"/>
    <n v="17"/>
    <d v="2024-09-13T00:00:00"/>
    <d v="2024-09-30T00:00:00"/>
    <d v="2024-10-03T00:00:00"/>
    <s v="تم التسليم عن طريق شركه شحن "/>
    <x v="0"/>
  </r>
  <r>
    <s v="بسام الشربينى"/>
    <x v="0"/>
    <x v="0"/>
    <x v="0"/>
    <x v="0"/>
    <s v="دورين"/>
    <s v="كينج"/>
    <n v="120"/>
    <x v="6"/>
    <s v="اسود"/>
    <s v="سرير كينج ١٢٠ بنفسجى "/>
    <n v="13849"/>
    <s v="مسبق الدفع"/>
    <n v="37"/>
    <n v="17"/>
    <d v="2024-09-13T00:00:00"/>
    <d v="2024-09-30T00:00:00"/>
    <d v="2024-10-20T00:00:00"/>
    <s v="تم التسليم محمود على "/>
    <x v="0"/>
  </r>
  <r>
    <s v="هبه عبد الفتاح"/>
    <x v="0"/>
    <x v="4"/>
    <x v="0"/>
    <x v="2"/>
    <s v="4×1"/>
    <s v="كيفنج"/>
    <n v="90"/>
    <x v="4"/>
    <s v="رمادى"/>
    <s v="كنبه سرير ٤ حركه "/>
    <n v="21999"/>
    <s v="مسبق الدفع"/>
    <n v="0"/>
    <n v="17"/>
    <d v="2024-09-13T00:00:00"/>
    <d v="2024-09-30T00:00:00"/>
    <m/>
    <s v="تم التسليم محمود على "/>
    <x v="0"/>
  </r>
  <r>
    <s v="اسراء ابراهيم"/>
    <x v="0"/>
    <x v="0"/>
    <x v="0"/>
    <x v="0"/>
    <s v="دورين"/>
    <s v="كيفنج"/>
    <n v="80"/>
    <x v="3"/>
    <s v="اسود"/>
    <s v="سرير كيفنج دورين مقاس ٨٠ ابيض "/>
    <n v="10999"/>
    <s v="مسبق الدفع"/>
    <n v="32"/>
    <n v="17"/>
    <d v="2024-09-13T00:00:00"/>
    <d v="2024-09-30T00:00:00"/>
    <d v="2024-10-15T00:00:00"/>
    <s v="تم التسليم محمود على "/>
    <x v="0"/>
  </r>
  <r>
    <s v="طارق كمال"/>
    <x v="0"/>
    <x v="4"/>
    <x v="0"/>
    <x v="0"/>
    <s v="ثلاثه ادوار"/>
    <s v="كيفنج"/>
    <n v="90"/>
    <x v="4"/>
    <s v="رمادى"/>
    <s v="سرير ٣ ادوار اسود مقاس ٩٠ "/>
    <n v="17249"/>
    <s v="مسبق الدفع"/>
    <n v="21"/>
    <n v="17"/>
    <d v="2024-09-13T00:00:00"/>
    <d v="2024-09-30T00:00:00"/>
    <d v="2024-10-04T00:00:00"/>
    <s v="تم التسليم محمود على "/>
    <x v="0"/>
  </r>
  <r>
    <s v="ديفد بهجت"/>
    <x v="0"/>
    <x v="0"/>
    <x v="0"/>
    <x v="1"/>
    <s v="2 ميكانزم"/>
    <s v="فورجينا"/>
    <n v="120"/>
    <x v="4"/>
    <s v="اسود"/>
    <s v="تربيزه قهوه ٢ رافع"/>
    <n v="8349"/>
    <s v="مسبق الدفع"/>
    <n v="37"/>
    <n v="32"/>
    <d v="2024-09-14T00:00:00"/>
    <d v="2024-10-16T00:00:00"/>
    <d v="2024-10-21T00:00:00"/>
    <s v="تم التسليم محمود على "/>
    <x v="0"/>
  </r>
  <r>
    <s v="اياد"/>
    <x v="0"/>
    <x v="4"/>
    <x v="0"/>
    <x v="1"/>
    <s v="بمكتبة"/>
    <s v="اسبانى"/>
    <n v="140"/>
    <x v="4"/>
    <s v="رمادى"/>
    <s v="ترابيزه قهوه متحركه "/>
    <n v="7849"/>
    <s v="مسبق الدفع"/>
    <n v="46"/>
    <n v="45"/>
    <d v="2024-09-14T00:00:00"/>
    <d v="2024-10-29T00:00:00"/>
    <d v="2024-10-30T00:00:00"/>
    <s v="تم التسليم محمود على "/>
    <x v="0"/>
  </r>
  <r>
    <s v="ميار خورشد"/>
    <x v="0"/>
    <x v="0"/>
    <x v="0"/>
    <x v="0"/>
    <s v="منطبق"/>
    <s v="فورجينا"/>
    <n v="120"/>
    <x v="4"/>
    <s v="اسود"/>
    <s v="سرير منطبق اسود حديد ومعدن "/>
    <n v="9399"/>
    <s v="مسبق الدفع "/>
    <n v="31"/>
    <n v="45"/>
    <d v="2024-09-14T00:00:00"/>
    <d v="2024-10-29T00:00:00"/>
    <d v="2024-10-15T00:00:00"/>
    <s v="تم التسليم محمود على "/>
    <x v="0"/>
  </r>
  <r>
    <s v="عبد الله سيد"/>
    <x v="0"/>
    <x v="0"/>
    <x v="0"/>
    <x v="0"/>
    <s v="فردى"/>
    <s v="اسبانى"/>
    <n v="140"/>
    <x v="4"/>
    <s v="رمادى"/>
    <s v="سرير اسبانى  ١٤٠ اسود وبيج "/>
    <n v="11817"/>
    <s v="مسبق الدفع "/>
    <n v="31"/>
    <n v="45"/>
    <d v="2024-09-14T00:00:00"/>
    <d v="2024-10-29T00:00:00"/>
    <d v="2024-10-15T00:00:00"/>
    <s v="تم التسليم محمود على "/>
    <x v="0"/>
  </r>
  <r>
    <s v="كينج سونا"/>
    <x v="0"/>
    <x v="4"/>
    <x v="0"/>
    <x v="1"/>
    <s v="رف سحاب"/>
    <s v="فورجينا"/>
    <n v="120"/>
    <x v="3"/>
    <s v="اسود"/>
    <s v="تربيزه قهوه مرتفعه برف سحاب "/>
    <n v="8349"/>
    <s v="مسبق الدفع "/>
    <n v="35"/>
    <n v="45"/>
    <d v="2024-09-14T00:00:00"/>
    <d v="2024-10-29T00:00:00"/>
    <d v="2024-10-19T00:00:00"/>
    <s v="تم التسليم محمود على "/>
    <x v="0"/>
  </r>
  <r>
    <s v="احمد خالد"/>
    <x v="0"/>
    <x v="4"/>
    <x v="0"/>
    <x v="0"/>
    <s v="فردى"/>
    <s v="فورجينا"/>
    <n v="120"/>
    <x v="3"/>
    <s v="رمادى"/>
    <s v=" ٢. سرير فورجينا ابيض مقاس ١٢٠"/>
    <n v="17886"/>
    <s v="مسبق الدفع "/>
    <n v="0"/>
    <n v="45"/>
    <d v="2024-09-14T00:00:00"/>
    <d v="2024-10-29T00:00:00"/>
    <m/>
    <s v="غير معروف"/>
    <x v="2"/>
  </r>
  <r>
    <s v="احمد خالد"/>
    <x v="0"/>
    <x v="4"/>
    <x v="0"/>
    <x v="0"/>
    <s v="فردى"/>
    <s v="فورجينا"/>
    <n v="120"/>
    <x v="3"/>
    <s v="اسود"/>
    <s v=" ٢. سرير فورجينا ابيض مقاس ١٢٠"/>
    <n v="17886"/>
    <s v="مسبق الدفع "/>
    <n v="0"/>
    <n v="45"/>
    <d v="2024-09-14T00:00:00"/>
    <d v="2024-10-29T00:00:00"/>
    <m/>
    <s v="غير معروف"/>
    <x v="2"/>
  </r>
  <r>
    <s v="ساره"/>
    <x v="0"/>
    <x v="4"/>
    <x v="0"/>
    <x v="0"/>
    <s v="فردى"/>
    <s v="اسبانى"/>
    <n v="120"/>
    <x v="3"/>
    <s v="رمادى"/>
    <s v="   ٢. سرير اسبانى ابيض ١٢٠"/>
    <n v="10987"/>
    <s v="مسبق الدفع"/>
    <n v="29"/>
    <n v="45"/>
    <d v="2024-09-14T00:00:00"/>
    <d v="2024-10-29T00:00:00"/>
    <d v="2024-10-13T00:00:00"/>
    <s v="تم التسليم محمود على "/>
    <x v="0"/>
  </r>
  <r>
    <s v="ساره"/>
    <x v="0"/>
    <x v="4"/>
    <x v="0"/>
    <x v="0"/>
    <s v="فردى"/>
    <s v="اسبانى"/>
    <n v="120"/>
    <x v="3"/>
    <s v="اسود"/>
    <s v="   ٢. سرير اسبانى ابيض ١٢٠"/>
    <n v="10987"/>
    <s v="مسبق الدفع"/>
    <n v="29"/>
    <n v="45"/>
    <d v="2024-09-14T00:00:00"/>
    <d v="2024-10-29T00:00:00"/>
    <d v="2024-10-13T00:00:00"/>
    <s v="تم التسليم محمود على "/>
    <x v="0"/>
  </r>
  <r>
    <s v="احمد ايمن"/>
    <x v="0"/>
    <x v="4"/>
    <x v="0"/>
    <x v="1"/>
    <s v="2 ميكانزم"/>
    <s v="كيفنج"/>
    <n v="80"/>
    <x v="4"/>
    <s v="رمادى"/>
    <s v="ترابيزه قهوه علويه جديده "/>
    <n v="10319"/>
    <s v="مسبق الدفع"/>
    <n v="35"/>
    <n v="45"/>
    <d v="2024-09-14T00:00:00"/>
    <d v="2024-10-29T00:00:00"/>
    <d v="2024-10-19T00:00:00"/>
    <s v="تم التسليم محمود على "/>
    <x v="0"/>
  </r>
  <r>
    <s v="مصطفي غنيم"/>
    <x v="0"/>
    <x v="6"/>
    <x v="0"/>
    <x v="0"/>
    <s v="دورين"/>
    <s v="كيفنج"/>
    <n v="120"/>
    <x v="2"/>
    <s v="اسود"/>
    <s v="سرير كيفنج دورين مقاس ١٢٠ رمادى "/>
    <n v="12999"/>
    <s v="مسبق الدفع "/>
    <n v="33"/>
    <n v="67"/>
    <d v="2024-09-14T00:00:00"/>
    <d v="2024-11-20T00:00:00"/>
    <d v="2024-10-17T00:00:00"/>
    <s v="تم التسليم عن طريق شركه شحن "/>
    <x v="0"/>
  </r>
  <r>
    <s v="حسام عبدون"/>
    <x v="0"/>
    <x v="3"/>
    <x v="0"/>
    <x v="2"/>
    <s v="4×1"/>
    <s v="كيفنج"/>
    <n v="80"/>
    <x v="4"/>
    <s v="رمادى"/>
    <s v="كنبه سرير ٤ حركه "/>
    <n v="21999"/>
    <s v="مسبق الدفع"/>
    <n v="0"/>
    <n v="67"/>
    <d v="2024-09-14T00:00:00"/>
    <d v="2024-11-20T00:00:00"/>
    <m/>
    <s v="غير معروف"/>
    <x v="2"/>
  </r>
  <r>
    <s v="رامى"/>
    <x v="0"/>
    <x v="4"/>
    <x v="0"/>
    <x v="0"/>
    <s v="دورين"/>
    <s v="نوفال"/>
    <n v="100"/>
    <x v="2"/>
    <s v="اسود"/>
    <s v="سرير نوفال ١٠٠ رمادى "/>
    <n v="12399"/>
    <s v="مسبق الدفع"/>
    <n v="17"/>
    <n v="67"/>
    <d v="2024-09-14T00:00:00"/>
    <d v="2024-11-20T00:00:00"/>
    <d v="2024-10-01T00:00:00"/>
    <s v="تم التسليم عن طريق شركه شحن "/>
    <x v="0"/>
  </r>
  <r>
    <s v="رحاب"/>
    <x v="0"/>
    <x v="4"/>
    <x v="0"/>
    <x v="2"/>
    <s v="4×1"/>
    <s v="كيفنج"/>
    <n v="80"/>
    <x v="4"/>
    <s v="رمادى"/>
    <s v="كنبه سرير ٤ حركه "/>
    <n v="21999"/>
    <s v="مسبق الدفع"/>
    <n v="25"/>
    <n v="67"/>
    <d v="2024-09-14T00:00:00"/>
    <d v="2024-11-20T00:00:00"/>
    <d v="2024-10-09T00:00:00"/>
    <s v="تم التسليم محمود على "/>
    <x v="0"/>
  </r>
  <r>
    <s v="فؤاد المنسي"/>
    <x v="0"/>
    <x v="4"/>
    <x v="0"/>
    <x v="0"/>
    <s v="دورين"/>
    <s v="نوفال"/>
    <n v="80"/>
    <x v="3"/>
    <s v="اسود"/>
    <s v="سرير نوفال مقاس ٨٠ ابيض "/>
    <n v="10999"/>
    <s v="مسبق الدفع "/>
    <n v="32"/>
    <n v="67"/>
    <d v="2024-09-14T00:00:00"/>
    <d v="2024-11-20T00:00:00"/>
    <d v="2024-10-16T00:00:00"/>
    <s v="تم التسليم محمود على "/>
    <x v="0"/>
  </r>
  <r>
    <s v="mohannad"/>
    <x v="0"/>
    <x v="4"/>
    <x v="0"/>
    <x v="0"/>
    <s v="دورين"/>
    <s v="كيفنج"/>
    <n v="80"/>
    <x v="3"/>
    <s v="رمادى"/>
    <s v=" سرير كيفنج 100 اسود "/>
    <n v="10999"/>
    <s v="مسبق الدفع "/>
    <n v="31"/>
    <n v="66"/>
    <d v="2024-09-15T00:00:00"/>
    <d v="2024-11-20T00:00:00"/>
    <d v="2024-10-16T00:00:00"/>
    <s v="تم التسليم محمود على "/>
    <x v="0"/>
  </r>
  <r>
    <s v="mohannad"/>
    <x v="0"/>
    <x v="4"/>
    <x v="0"/>
    <x v="0"/>
    <s v="دورين"/>
    <s v="كيفنج"/>
    <n v="80"/>
    <x v="3"/>
    <s v="اسود"/>
    <s v=" سرير كيفنج 100اسود "/>
    <n v="10999"/>
    <s v="مسبق الدفع "/>
    <n v="31"/>
    <n v="66"/>
    <d v="2024-09-15T00:00:00"/>
    <d v="2024-11-20T00:00:00"/>
    <d v="2024-10-16T00:00:00"/>
    <s v="تم التسليم محمود على "/>
    <x v="0"/>
  </r>
  <r>
    <s v="Mohamed Ayman"/>
    <x v="0"/>
    <x v="4"/>
    <x v="0"/>
    <x v="2"/>
    <s v="4×1"/>
    <s v="كيفنج"/>
    <n v="80"/>
    <x v="4"/>
    <s v="رمادى"/>
    <s v=" سرير كيفنج 100 اسود "/>
    <n v="21999"/>
    <s v="مسبق الدفع "/>
    <n v="34"/>
    <n v="66"/>
    <d v="2024-09-15T00:00:00"/>
    <d v="2024-11-20T00:00:00"/>
    <d v="2024-10-19T00:00:00"/>
    <s v="تم التسليم محمود على "/>
    <x v="0"/>
  </r>
  <r>
    <s v="اسامه"/>
    <x v="0"/>
    <x v="3"/>
    <x v="0"/>
    <x v="1"/>
    <s v="2 ميكانزم"/>
    <s v="كينج"/>
    <n v="100"/>
    <x v="4"/>
    <s v="اسود"/>
    <s v=" سرير كيفنج 100اسود "/>
    <n v="7849"/>
    <n v="6306"/>
    <n v="59"/>
    <n v="44"/>
    <d v="2024-09-16T00:00:00"/>
    <d v="2024-10-30T00:00:00"/>
    <d v="2024-11-14T00:00:00"/>
    <s v="تم التسليم عن طريق شركه شحن "/>
    <x v="0"/>
  </r>
  <r>
    <s v="اوسكار راتن"/>
    <x v="1"/>
    <x v="0"/>
    <x v="4"/>
    <x v="0"/>
    <s v="دورين"/>
    <s v="كيفنج"/>
    <n v="80"/>
    <x v="3"/>
    <s v="اسود"/>
    <s v=" سرير كيفنج 100 اسود "/>
    <n v="5074"/>
    <s v="حساب شركه"/>
    <n v="21"/>
    <n v="14"/>
    <d v="2024-09-21T00:00:00"/>
    <d v="2024-10-05T00:00:00"/>
    <d v="2024-10-12T00:00:00"/>
    <s v="تم التسليم محمود على "/>
    <x v="0"/>
  </r>
  <r>
    <s v="تاكى"/>
    <x v="1"/>
    <x v="4"/>
    <x v="3"/>
    <x v="0"/>
    <s v="دورين"/>
    <s v="كينج"/>
    <n v="100"/>
    <x v="4"/>
    <s v="اسود"/>
    <s v=" سرير كيفنج 100اسود "/>
    <n v="6250"/>
    <s v="حساب شركه"/>
    <n v="24"/>
    <n v="15"/>
    <d v="2024-09-23T00:00:00"/>
    <d v="2024-10-08T00:00:00"/>
    <d v="2024-10-17T00:00:00"/>
    <s v="تم التسليم محمود على "/>
    <x v="0"/>
  </r>
  <r>
    <s v="تاكى"/>
    <x v="1"/>
    <x v="4"/>
    <x v="3"/>
    <x v="0"/>
    <s v="دورين"/>
    <s v="كينج"/>
    <n v="100"/>
    <x v="4"/>
    <s v="اسود"/>
    <s v=" سرير كيفنج 100 اسود "/>
    <n v="6250"/>
    <s v="حساب شركه"/>
    <n v="24"/>
    <n v="15"/>
    <d v="2024-09-23T00:00:00"/>
    <d v="2024-10-08T00:00:00"/>
    <d v="2024-10-17T00:00:00"/>
    <s v="تم التسليم محمود على "/>
    <x v="0"/>
  </r>
  <r>
    <s v="ولاء بدوى"/>
    <x v="0"/>
    <x v="4"/>
    <x v="0"/>
    <x v="0"/>
    <s v="فردى"/>
    <s v="فورجينا"/>
    <n v="120"/>
    <x v="3"/>
    <s v="نبيتى "/>
    <s v="سرير دوربن فانتستيك مقاس 100 لونه القماش اسود"/>
    <n v="8943"/>
    <n v="9033"/>
    <n v="14"/>
    <n v="45"/>
    <d v="2024-09-26T00:00:00"/>
    <d v="2024-11-10T00:00:00"/>
    <d v="2024-10-10T00:00:00"/>
    <s v="تم التسليم محمود على "/>
    <x v="0"/>
  </r>
  <r>
    <s v="عبد الرحمن يسري"/>
    <x v="0"/>
    <x v="0"/>
    <x v="0"/>
    <x v="1"/>
    <s v="رف سحاب"/>
    <s v="كينج"/>
    <n v="100"/>
    <x v="7"/>
    <s v="بيج"/>
    <s v="سرير دوربن فانتستيك مقاس 100 لونه القماش اسود"/>
    <n v="8349"/>
    <n v="8433"/>
    <n v="0"/>
    <n v="45"/>
    <d v="2024-09-26T00:00:00"/>
    <d v="2024-11-10T00:00:00"/>
    <m/>
    <s v="غير معروف"/>
    <x v="2"/>
  </r>
  <r>
    <s v="شيك هومز"/>
    <x v="1"/>
    <x v="4"/>
    <x v="1"/>
    <x v="2"/>
    <s v="4×1"/>
    <s v="اسبانى"/>
    <n v="120"/>
    <x v="3"/>
    <s v="نبيتى "/>
    <s v="سرير دوربن فانتستيك مقاس 100 لونه القماش اسود"/>
    <n v="14950"/>
    <s v="مسبق الدفع"/>
    <n v="17"/>
    <n v="18"/>
    <d v="2024-09-26T00:00:00"/>
    <d v="2024-10-14T00:00:00"/>
    <d v="2024-10-13T00:00:00"/>
    <s v="تم التسليم محمود على "/>
    <x v="0"/>
  </r>
  <r>
    <s v="شيك هومز"/>
    <x v="1"/>
    <x v="0"/>
    <x v="1"/>
    <x v="0"/>
    <s v="دورين"/>
    <s v="كينج"/>
    <n v="100"/>
    <x v="7"/>
    <s v="بيج"/>
    <s v="سرير دوربن فانتستيك مقاس 100 لونه القماش اسود"/>
    <n v="9208"/>
    <n v="9608"/>
    <n v="0"/>
    <n v="18"/>
    <d v="2024-09-26T00:00:00"/>
    <d v="2024-10-14T00:00:00"/>
    <m/>
    <s v="غير معروف"/>
    <x v="2"/>
  </r>
  <r>
    <s v="شيك هومز"/>
    <x v="1"/>
    <x v="0"/>
    <x v="1"/>
    <x v="0"/>
    <s v="فردى"/>
    <s v="اسبانى"/>
    <n v="120"/>
    <x v="3"/>
    <s v="اسود"/>
    <s v="سرير دوربن فانتستيك مقاس 100 لونه القماش اسود"/>
    <n v="7433"/>
    <s v="مسبق الدفع"/>
    <n v="22"/>
    <n v="21"/>
    <d v="2024-09-29T00:00:00"/>
    <d v="2024-10-20T00:00:00"/>
    <d v="2024-10-21T00:00:00"/>
    <s v="تم التسليم محمود على "/>
    <x v="0"/>
  </r>
  <r>
    <s v="اوسكار راتن"/>
    <x v="1"/>
    <x v="0"/>
    <x v="4"/>
    <x v="0"/>
    <s v="فردى"/>
    <s v="فورجينا"/>
    <n v="120"/>
    <x v="3"/>
    <s v="بيج"/>
    <s v="سرير دوربن فانتستيك مقاس 100 لونه القماش اسود"/>
    <n v="4020"/>
    <s v="حساب شركه"/>
    <n v="13"/>
    <n v="13"/>
    <d v="2024-09-29T00:00:00"/>
    <d v="2024-10-12T00:00:00"/>
    <d v="2024-10-12T00:00:00"/>
    <s v="تم التسليم محمود على "/>
    <x v="0"/>
  </r>
  <r>
    <s v="الحج محمد السويس"/>
    <x v="0"/>
    <x v="7"/>
    <x v="5"/>
    <x v="0"/>
    <s v="دورين"/>
    <s v="فانتستيك"/>
    <n v="100"/>
    <x v="8"/>
    <s v="اسود"/>
    <s v="سرير دوربن فانتستيك مقاس 100 لونه القماش اسود"/>
    <n v="8544.9054400000005"/>
    <m/>
    <n v="8"/>
    <n v="8"/>
    <d v="2024-10-01T00:00:00"/>
    <d v="2024-10-09T00:00:00"/>
    <d v="2024-10-09T00:00:00"/>
    <s v="تم التسليم بمعرفه الحج سيد "/>
    <x v="0"/>
  </r>
  <r>
    <s v="الحج محمد السويس"/>
    <x v="0"/>
    <x v="7"/>
    <x v="5"/>
    <x v="0"/>
    <s v="منطبق"/>
    <s v="كيفنج"/>
    <n v="80"/>
    <x v="7"/>
    <s v="بيج"/>
    <s v="سرير دوربن فانتستيك مقاس 100 لونه القماش اسود"/>
    <n v="4600"/>
    <m/>
    <n v="8"/>
    <n v="8"/>
    <d v="2024-10-01T00:00:00"/>
    <d v="2024-10-09T00:00:00"/>
    <d v="2024-10-09T00:00:00"/>
    <s v="تم التسليم بمعرفه الحج سيد "/>
    <x v="0"/>
  </r>
  <r>
    <s v="الحج محمد السويس"/>
    <x v="0"/>
    <x v="7"/>
    <x v="5"/>
    <x v="2"/>
    <s v="فنيسيا"/>
    <s v="نوفال "/>
    <s v="100/140"/>
    <x v="4"/>
    <s v="رصاصي مشجر"/>
    <s v="سرير دوربن فانتستيك مقاس 100 لونه القماش اسود"/>
    <n v="10000"/>
    <m/>
    <n v="8"/>
    <n v="8"/>
    <d v="2024-10-01T00:00:00"/>
    <d v="2024-10-09T00:00:00"/>
    <d v="2024-10-09T00:00:00"/>
    <s v="تم التسليم بمعرفه الحج سيد "/>
    <x v="0"/>
  </r>
  <r>
    <s v="الحج محمد السويس"/>
    <x v="0"/>
    <x v="7"/>
    <x v="5"/>
    <x v="5"/>
    <m/>
    <s v="كيفنج"/>
    <n v="80"/>
    <x v="4"/>
    <s v="نبيتى "/>
    <s v="سرير دوربن فانتستيك مقاس 100 لونه القماش اسود"/>
    <m/>
    <m/>
    <n v="8"/>
    <n v="8"/>
    <d v="2024-10-01T00:00:00"/>
    <d v="2024-10-09T00:00:00"/>
    <d v="2024-10-09T00:00:00"/>
    <s v="تم التسليم بمعرفه الحج سيد "/>
    <x v="0"/>
  </r>
  <r>
    <s v="عمرو الأسود"/>
    <x v="0"/>
    <x v="4"/>
    <x v="0"/>
    <x v="0"/>
    <s v="منطبق"/>
    <s v="نوفال "/>
    <s v="100/140"/>
    <x v="4"/>
    <s v="اسود"/>
    <s v="سرير دوربن فانتستيك مقاس 100 لونه القماش اسود"/>
    <n v="8899"/>
    <n v="8988"/>
    <n v="0"/>
    <n v="45"/>
    <d v="2024-10-03T00:00:00"/>
    <d v="2024-11-17T00:00:00"/>
    <m/>
    <s v="غير معروف"/>
    <x v="2"/>
  </r>
  <r>
    <s v="شيك هومز"/>
    <x v="1"/>
    <x v="0"/>
    <x v="1"/>
    <x v="2"/>
    <s v="4×1"/>
    <s v="كيفنج"/>
    <n v="80"/>
    <x v="7"/>
    <s v="بترولى "/>
    <s v="سرير دوربن فانتستيك مقاس 100 لونه القماش اسود"/>
    <n v="14550"/>
    <s v="مسبق الدفع"/>
    <n v="22"/>
    <n v="21"/>
    <d v="2024-10-08T00:00:00"/>
    <d v="2024-10-29T00:00:00"/>
    <d v="2024-10-30T00:00:00"/>
    <s v="تم التسليم محمود على "/>
    <x v="0"/>
  </r>
  <r>
    <s v="شيك هومز"/>
    <x v="1"/>
    <x v="0"/>
    <x v="1"/>
    <x v="2"/>
    <s v="4×1"/>
    <s v="نوفال "/>
    <s v="100/140"/>
    <x v="7"/>
    <s v="بترولى "/>
    <s v="سرير دوربن فانتستيك مقاس 100 لونه القماش اسود"/>
    <n v="14550"/>
    <s v="مسبق الدفع"/>
    <n v="8"/>
    <n v="22"/>
    <d v="2024-10-07T00:00:00"/>
    <d v="2024-10-29T00:00:00"/>
    <d v="2024-10-15T00:00:00"/>
    <s v="تم التسليم محمود على "/>
    <x v="0"/>
  </r>
  <r>
    <s v="شيك هومز"/>
    <x v="1"/>
    <x v="0"/>
    <x v="1"/>
    <x v="2"/>
    <s v="4×1"/>
    <s v="كيفنج"/>
    <n v="80"/>
    <x v="7"/>
    <s v="نبيتى "/>
    <s v="سرير دوربن فانتستيك مقاس 100 لونه القماش اسود"/>
    <n v="14550"/>
    <n v="11495"/>
    <n v="23"/>
    <n v="21"/>
    <d v="2024-10-10T00:00:00"/>
    <d v="2024-10-31T00:00:00"/>
    <d v="2024-11-02T00:00:00"/>
    <s v="تم التسليم محمود على "/>
    <x v="0"/>
  </r>
  <r>
    <s v="keira"/>
    <x v="0"/>
    <x v="4"/>
    <x v="0"/>
    <x v="0"/>
    <s v="دورين"/>
    <s v="نوفال "/>
    <s v="100/140"/>
    <x v="9"/>
    <s v="اسود"/>
    <s v="سرير دوربن فانتستيك مقاس 100 لونه القماش اسود"/>
    <n v="12899"/>
    <n v="13028"/>
    <n v="20"/>
    <n v="65"/>
    <d v="2024-10-13T00:00:00"/>
    <d v="2024-12-17T00:00:00"/>
    <d v="2024-11-02T00:00:00"/>
    <s v="تم التسليم محمود على "/>
    <x v="0"/>
  </r>
  <r>
    <s v="tarek"/>
    <x v="0"/>
    <x v="4"/>
    <x v="0"/>
    <x v="0"/>
    <s v="دورين"/>
    <s v="كيفنج"/>
    <n v="80"/>
    <x v="3"/>
    <s v="خشب بنى فاتح"/>
    <s v="سرير دوربن فانتستيك مقاس 100 لونه القماش اسود"/>
    <n v="10499"/>
    <s v="مسبق الدفع"/>
    <n v="5"/>
    <n v="64"/>
    <d v="2024-10-16T00:00:00"/>
    <d v="2024-12-19T00:00:00"/>
    <d v="2024-10-21T00:00:00"/>
    <s v="تم التسليم محمود على "/>
    <x v="0"/>
  </r>
  <r>
    <s v="reem"/>
    <x v="0"/>
    <x v="1"/>
    <x v="0"/>
    <x v="0"/>
    <s v="دورين"/>
    <s v="نوفال"/>
    <s v="100/140"/>
    <x v="9"/>
    <s v="اسود"/>
    <s v="سرير دوربن فانتستيك مقاس 100 لونه القماش اسود"/>
    <n v="12899"/>
    <s v="مسبق الدفع"/>
    <n v="47"/>
    <n v="66"/>
    <d v="2024-10-17T00:00:00"/>
    <d v="2024-12-22T00:00:00"/>
    <d v="2024-12-03T00:00:00"/>
    <s v="تم التسليم عن طريق شركه شحن "/>
    <x v="0"/>
  </r>
  <r>
    <s v="هشام سامى"/>
    <x v="0"/>
    <x v="4"/>
    <x v="6"/>
    <x v="0"/>
    <s v="فردى"/>
    <s v="بلحه"/>
    <n v="140"/>
    <x v="10"/>
    <s v="خشب بنى فاتح"/>
    <s v="سرير دوربن فانتستيك مقاس 100 لونه القماش اسود"/>
    <n v="5135"/>
    <s v="مسبق الدفع"/>
    <n v="25"/>
    <n v="28"/>
    <d v="2024-10-20T00:00:00"/>
    <d v="2024-11-17T00:00:00"/>
    <d v="2024-11-14T00:00:00"/>
    <s v="تم التسليم محمود على "/>
    <x v="0"/>
  </r>
  <r>
    <s v="شيك هومز"/>
    <x v="1"/>
    <x v="0"/>
    <x v="1"/>
    <x v="0"/>
    <s v="دورين"/>
    <s v="فانتستيك"/>
    <n v="100"/>
    <x v="8"/>
    <s v="اسود"/>
    <s v="سرير دوربن فانتستيك مقاس 100 لونه القماش اسود"/>
    <n v="12777.5"/>
    <n v="11277.5"/>
    <n v="27"/>
    <n v="21"/>
    <d v="2024-10-22T00:00:00"/>
    <d v="2024-11-12T00:00:00"/>
    <d v="2024-11-18T00:00:00"/>
    <s v="تم التسليم محمود على "/>
    <x v="0"/>
  </r>
  <r>
    <s v="شيك هومز"/>
    <x v="1"/>
    <x v="0"/>
    <x v="1"/>
    <x v="0"/>
    <s v="دورين"/>
    <s v="فانتستيك"/>
    <n v="100"/>
    <x v="8"/>
    <s v="اسود"/>
    <s v="سرير دوربن فانتستيك مقاس 100 لونه القماش اسود"/>
    <n v="12777.5"/>
    <n v="11277.5"/>
    <n v="27"/>
    <n v="21"/>
    <d v="2024-10-22T00:00:00"/>
    <d v="2024-11-12T00:00:00"/>
    <d v="2024-11-18T00:00:00"/>
    <s v="تم التسليم محمود على "/>
    <x v="0"/>
  </r>
  <r>
    <s v="اوسكار راتن"/>
    <x v="1"/>
    <x v="4"/>
    <x v="4"/>
    <x v="0"/>
    <s v="دورين"/>
    <s v="فانتستيك"/>
    <n v="100"/>
    <x v="8"/>
    <s v="اسود"/>
    <s v="سرير دوربن فانتستيك مقاس 100 لونه القماش اسود"/>
    <n v="8544.91"/>
    <s v="حساب شركه"/>
    <n v="0"/>
    <n v="0"/>
    <d v="2024-10-22T00:00:00"/>
    <m/>
    <m/>
    <s v="غير معروف"/>
    <x v="2"/>
  </r>
  <r>
    <s v="فاطمه محمد"/>
    <x v="0"/>
    <x v="0"/>
    <x v="0"/>
    <x v="0"/>
    <s v="فردى"/>
    <s v="فورجينا"/>
    <n v="120"/>
    <x v="3"/>
    <s v="بترولى"/>
    <s v="٢ كنبه سحاره بدون مخدع "/>
    <n v="8943"/>
    <n v="9007.01"/>
    <n v="28"/>
    <n v="24"/>
    <d v="2024-10-21T00:00:00"/>
    <d v="2024-11-14T00:00:00"/>
    <d v="2024-11-18T00:00:00"/>
    <s v="تم التسليم محمود على "/>
    <x v="0"/>
  </r>
  <r>
    <s v="شيك هومز"/>
    <x v="1"/>
    <x v="0"/>
    <x v="1"/>
    <x v="2"/>
    <s v="4×1"/>
    <s v="كينج"/>
    <n v="90"/>
    <x v="4"/>
    <s v="بنى غامق "/>
    <s v="غير معروف"/>
    <n v="15516"/>
    <s v="مسبق الدفع"/>
    <n v="6"/>
    <n v="21"/>
    <d v="2024-10-24T00:00:00"/>
    <d v="2024-11-14T00:00:00"/>
    <d v="2024-10-30T00:00:00"/>
    <s v="تم التسليم محمود على "/>
    <x v="0"/>
  </r>
  <r>
    <s v="شيك هومز"/>
    <x v="1"/>
    <x v="0"/>
    <x v="1"/>
    <x v="0"/>
    <s v="دورين"/>
    <s v="كينج"/>
    <n v="100"/>
    <x v="4"/>
    <s v="بترولى"/>
    <s v="٢ كنبه سحاره بدون مخدع "/>
    <n v="10045"/>
    <n v="8879"/>
    <n v="0"/>
    <n v="21"/>
    <d v="2024-10-26T00:00:00"/>
    <d v="2024-11-16T00:00:00"/>
    <m/>
    <s v="غير معروف"/>
    <x v="2"/>
  </r>
  <r>
    <s v="ساره"/>
    <x v="0"/>
    <x v="0"/>
    <x v="0"/>
    <x v="0"/>
    <s v="دورين"/>
    <s v="كينج"/>
    <n v="90"/>
    <x v="4"/>
    <s v="بنى غامق "/>
    <s v="غير معروف"/>
    <n v="11649"/>
    <n v="11749"/>
    <n v="23"/>
    <n v="15"/>
    <d v="2024-10-26T00:00:00"/>
    <d v="2024-11-10T00:00:00"/>
    <d v="2024-11-18T00:00:00"/>
    <s v="تم التسليم محمود على "/>
    <x v="0"/>
  </r>
  <r>
    <s v="ساره"/>
    <x v="0"/>
    <x v="0"/>
    <x v="0"/>
    <x v="0"/>
    <s v="دورين"/>
    <s v="كينج"/>
    <n v="90"/>
    <x v="4"/>
    <s v="بترولى"/>
    <s v="٢ كنبه سحاره بدون مخدع "/>
    <n v="11649"/>
    <n v="11749"/>
    <n v="23"/>
    <n v="15"/>
    <d v="2024-10-26T00:00:00"/>
    <d v="2024-11-10T00:00:00"/>
    <d v="2024-11-18T00:00:00"/>
    <s v="تم التسليم محمود على "/>
    <x v="0"/>
  </r>
  <r>
    <s v="بولا هومزمارت"/>
    <x v="0"/>
    <x v="4"/>
    <x v="0"/>
    <x v="0"/>
    <s v="فردى"/>
    <s v="اسبانى"/>
    <n v="100"/>
    <x v="3"/>
    <s v="بنى غامق "/>
    <s v="غير معروف"/>
    <n v="4800"/>
    <n v="4800"/>
    <n v="24"/>
    <n v="14"/>
    <d v="2024-10-28T00:00:00"/>
    <d v="2024-11-11T00:00:00"/>
    <d v="2024-11-21T00:00:00"/>
    <s v="تم التسليم محمود على "/>
    <x v="0"/>
  </r>
  <r>
    <s v="بولا هومزمارت"/>
    <x v="0"/>
    <x v="4"/>
    <x v="0"/>
    <x v="0"/>
    <s v="فردى"/>
    <s v="اسبانى"/>
    <n v="120"/>
    <x v="3"/>
    <s v="بترولى"/>
    <s v="٢ كنبه سحاره بدون مخدع "/>
    <n v="5000"/>
    <n v="4800"/>
    <n v="24"/>
    <n v="14"/>
    <d v="2024-10-28T00:00:00"/>
    <d v="2024-11-11T00:00:00"/>
    <d v="2024-11-21T00:00:00"/>
    <s v="تم التسليم محمود على "/>
    <x v="0"/>
  </r>
  <r>
    <s v="محمد شكرى"/>
    <x v="0"/>
    <x v="4"/>
    <x v="0"/>
    <x v="0"/>
    <s v="دورين"/>
    <s v="كيفنج"/>
    <n v="80"/>
    <x v="3"/>
    <s v="بنى غامق "/>
    <s v="غير معروف"/>
    <n v="12099"/>
    <s v="مسبق الدفع"/>
    <n v="16"/>
    <n v="15"/>
    <d v="2024-11-11T00:00:00"/>
    <d v="2024-11-26T00:00:00"/>
    <d v="2024-11-27T00:00:00"/>
    <s v="تم التسليم محمود على "/>
    <x v="0"/>
  </r>
  <r>
    <s v="شيك هومز"/>
    <x v="1"/>
    <x v="0"/>
    <x v="1"/>
    <x v="2"/>
    <s v="4×1"/>
    <s v="ارينا"/>
    <n v="90"/>
    <x v="7"/>
    <s v="بترولى"/>
    <s v="٢ كنبه سحاره بدون مخدع "/>
    <n v="15872"/>
    <s v="مسبق الدفع"/>
    <n v="6"/>
    <n v="25"/>
    <d v="2024-11-08T00:00:00"/>
    <d v="2024-12-03T00:00:00"/>
    <d v="2024-11-14T00:00:00"/>
    <s v="تم التسليم محمود على "/>
    <x v="0"/>
  </r>
  <r>
    <s v="منزلى"/>
    <x v="0"/>
    <x v="4"/>
    <x v="6"/>
    <x v="0"/>
    <s v="فردى"/>
    <s v="فورجينا"/>
    <n v="120"/>
    <x v="3"/>
    <s v="بنى غامق "/>
    <s v="غير معروف"/>
    <n v="4520"/>
    <s v="حساب شركه"/>
    <n v="11"/>
    <n v="12"/>
    <d v="2024-11-10T00:00:00"/>
    <d v="2024-11-22T00:00:00"/>
    <d v="2024-11-21T00:00:00"/>
    <s v="تم التسليم محمود على "/>
    <x v="0"/>
  </r>
  <r>
    <s v="اوسكار راتن"/>
    <x v="1"/>
    <x v="0"/>
    <x v="4"/>
    <x v="0"/>
    <s v="دورين"/>
    <s v="كينج"/>
    <n v="90"/>
    <x v="4"/>
    <s v="ابيض"/>
    <s v="٢ كنبه سحاره بدون مخدع "/>
    <n v="5766"/>
    <s v="حساب شركه"/>
    <n v="13"/>
    <n v="14"/>
    <d v="2024-11-12T00:00:00"/>
    <d v="2024-11-26T00:00:00"/>
    <d v="2024-11-25T00:00:00"/>
    <s v="تم التسليم محمود على "/>
    <x v="0"/>
  </r>
  <r>
    <s v="حماده"/>
    <x v="0"/>
    <x v="4"/>
    <x v="0"/>
    <x v="0"/>
    <s v="فردى"/>
    <s v="فورجينا"/>
    <n v="160"/>
    <x v="6"/>
    <s v="بنى غامق "/>
    <s v="غير معروف"/>
    <n v="11395"/>
    <s v="مسبق الدفع"/>
    <n v="15"/>
    <n v="12"/>
    <d v="2024-11-12T00:00:00"/>
    <d v="2024-11-24T00:00:00"/>
    <d v="2024-11-27T00:00:00"/>
    <s v="تم التسليم محمود على "/>
    <x v="0"/>
  </r>
  <r>
    <s v="صفاء عبد الباقي"/>
    <x v="0"/>
    <x v="4"/>
    <x v="0"/>
    <x v="0"/>
    <s v="دورين"/>
    <s v="كينج "/>
    <n v="80"/>
    <x v="3"/>
    <s v="ابيض"/>
    <s v="٢ كنبه سحاره بدون مخدع "/>
    <n v="12919"/>
    <s v="مسبق الدفع"/>
    <n v="13"/>
    <n v="16"/>
    <d v="2024-11-14T00:00:00"/>
    <d v="2024-11-30T00:00:00"/>
    <d v="2024-11-27T00:00:00"/>
    <s v="تم التسليم محمود على "/>
    <x v="0"/>
  </r>
  <r>
    <s v="اوسكار راتن"/>
    <x v="1"/>
    <x v="0"/>
    <x v="4"/>
    <x v="0"/>
    <s v="دورين"/>
    <s v="نوفال"/>
    <n v="120"/>
    <x v="2"/>
    <s v="بنى غامق "/>
    <s v="غير معروف"/>
    <n v="6376"/>
    <s v="حساب شركه"/>
    <n v="11"/>
    <n v="13"/>
    <d v="2024-11-14T00:00:00"/>
    <d v="2024-11-27T00:00:00"/>
    <d v="2024-11-25T00:00:00"/>
    <s v="تم التسليم محمود على "/>
    <x v="0"/>
  </r>
  <r>
    <s v="اوسكار راتن"/>
    <x v="1"/>
    <x v="4"/>
    <x v="4"/>
    <x v="0"/>
    <s v="دورين "/>
    <s v="نوفال"/>
    <n v="90"/>
    <x v="4"/>
    <s v="ابيض"/>
    <s v="٢ كنبه سحاره بدون مخدع "/>
    <n v="5294"/>
    <s v="حساب شركه"/>
    <n v="11"/>
    <n v="13"/>
    <d v="2024-11-14T00:00:00"/>
    <d v="2024-11-27T00:00:00"/>
    <d v="2024-11-25T00:00:00"/>
    <s v="تم التسليم محمود على "/>
    <x v="0"/>
  </r>
  <r>
    <s v="رندا العامرى"/>
    <x v="0"/>
    <x v="0"/>
    <x v="7"/>
    <x v="0"/>
    <s v="دورين "/>
    <s v="كيفنج "/>
    <n v="80"/>
    <x v="3"/>
    <s v="بنى غامق "/>
    <s v="غير معروف"/>
    <n v="7396"/>
    <s v="مسبق الدفع"/>
    <n v="9"/>
    <n v="11"/>
    <d v="2024-11-17T00:00:00"/>
    <d v="2024-11-28T00:00:00"/>
    <d v="2024-11-26T00:00:00"/>
    <s v="تم التسليم محمود على "/>
    <x v="0"/>
  </r>
  <r>
    <s v="ساره"/>
    <x v="0"/>
    <x v="0"/>
    <x v="0"/>
    <x v="0"/>
    <s v="دورين"/>
    <s v="كينج"/>
    <n v="90"/>
    <x v="4"/>
    <s v="ابيض"/>
    <s v="٢ كنبه سحاره بدون مخدع "/>
    <n v="13439"/>
    <n v="13575"/>
    <n v="6"/>
    <n v="15"/>
    <d v="2024-11-20T00:00:00"/>
    <d v="2024-12-05T00:00:00"/>
    <d v="2024-11-26T00:00:00"/>
    <s v="تم التسليم محمود على "/>
    <x v="0"/>
  </r>
  <r>
    <s v="تاكى"/>
    <x v="1"/>
    <x v="4"/>
    <x v="3"/>
    <x v="0"/>
    <s v="فردى "/>
    <s v="امريكى"/>
    <n v="160"/>
    <x v="4"/>
    <s v="بنى غامق "/>
    <s v="غير معروف"/>
    <n v="5100"/>
    <s v="حساب شركه"/>
    <n v="0"/>
    <n v="24"/>
    <d v="2024-11-14T00:00:00"/>
    <d v="2024-12-08T00:00:00"/>
    <m/>
    <s v="غير معروف"/>
    <x v="2"/>
  </r>
  <r>
    <s v="محمد حمدى"/>
    <x v="0"/>
    <x v="4"/>
    <x v="2"/>
    <x v="0"/>
    <s v="فردى"/>
    <s v="كوين "/>
    <n v="160"/>
    <x v="5"/>
    <s v="ابيض"/>
    <s v="٢ كنبه سحاره بدون مخدع "/>
    <n v="5700"/>
    <n v="5800"/>
    <n v="5"/>
    <n v="10"/>
    <d v="2024-11-22T00:00:00"/>
    <d v="2024-12-02T00:00:00"/>
    <d v="2024-11-27T00:00:00"/>
    <s v="تم التسليم محمود على "/>
    <x v="0"/>
  </r>
  <r>
    <s v="بافلى هانى"/>
    <x v="0"/>
    <x v="4"/>
    <x v="0"/>
    <x v="0"/>
    <s v="فردى "/>
    <s v="اسبانى "/>
    <n v="120"/>
    <x v="2"/>
    <s v="بنى غامق "/>
    <s v="غير معروف"/>
    <n v="10885"/>
    <n v="7965"/>
    <n v="16"/>
    <n v="11"/>
    <d v="2024-11-24T00:00:00"/>
    <d v="2024-12-05T00:00:00"/>
    <d v="2024-12-10T00:00:00"/>
    <s v="تم التسليم محمود على "/>
    <x v="0"/>
  </r>
  <r>
    <s v="تاكى"/>
    <x v="1"/>
    <x v="4"/>
    <x v="3"/>
    <x v="2"/>
    <s v="سحارة"/>
    <s v="ميكانزم"/>
    <n v="90"/>
    <x v="3"/>
    <s v="ابيض في بنى غامق"/>
    <s v="٢ كنبه سحاره بدون مخدع "/>
    <n v="6000"/>
    <n v="6000"/>
    <n v="1"/>
    <n v="16"/>
    <d v="2024-11-19T00:00:00"/>
    <d v="2024-12-05T00:00:00"/>
    <d v="2024-11-20T00:00:00"/>
    <s v="تم التسليم م محمد "/>
    <x v="0"/>
  </r>
  <r>
    <s v="رنا ميلاد"/>
    <x v="0"/>
    <x v="1"/>
    <x v="0"/>
    <x v="1"/>
    <m/>
    <s v="مكتبه"/>
    <n v="100"/>
    <x v="4"/>
    <s v="بنى غامق "/>
    <s v="غير معروف"/>
    <n v="8449"/>
    <s v="مسبق الدفع"/>
    <n v="26"/>
    <n v="13"/>
    <d v="2024-11-27T00:00:00"/>
    <d v="2024-12-10T00:00:00"/>
    <d v="2024-12-23T00:00:00"/>
    <s v="تم التسليم عن طريق شركه شحن "/>
    <x v="0"/>
  </r>
  <r>
    <s v="محمد ناجى"/>
    <x v="0"/>
    <x v="4"/>
    <x v="0"/>
    <x v="1"/>
    <s v="دوران "/>
    <s v="ميكانزم"/>
    <n v="90"/>
    <x v="3"/>
    <s v="ابيض في بنى غامق"/>
    <s v="غير معروف"/>
    <n v="10249"/>
    <n v="6211"/>
    <n v="22"/>
    <n v="13"/>
    <d v="2024-11-27T00:00:00"/>
    <d v="2024-12-10T00:00:00"/>
    <d v="2024-12-19T00:00:00"/>
    <s v="تم التسليم محمود على "/>
    <x v="0"/>
  </r>
  <r>
    <s v="احمد عبد الستار"/>
    <x v="0"/>
    <x v="1"/>
    <x v="0"/>
    <x v="0"/>
    <s v="دورين"/>
    <s v="كيفنج"/>
    <n v="100"/>
    <x v="4"/>
    <s v="بنى غامق "/>
    <s v="غير معروف"/>
    <n v="14905"/>
    <s v="مسبق الدفع"/>
    <n v="0"/>
    <n v="16"/>
    <d v="2024-11-29T00:00:00"/>
    <d v="2024-12-15T00:00:00"/>
    <m/>
    <s v="العميل رفض الاستلام"/>
    <x v="2"/>
  </r>
  <r>
    <s v="نور"/>
    <x v="0"/>
    <x v="4"/>
    <x v="0"/>
    <x v="1"/>
    <s v="دوران "/>
    <s v="ميكانزم"/>
    <n v="90"/>
    <x v="7"/>
    <s v="بنى غامق"/>
    <s v="غير معروف"/>
    <n v="10249"/>
    <s v="مسبق الدفع"/>
    <n v="0"/>
    <n v="12"/>
    <d v="2024-11-30T00:00:00"/>
    <d v="2024-12-12T00:00:00"/>
    <m/>
    <s v="غير معروف"/>
    <x v="2"/>
  </r>
  <r>
    <s v="نور"/>
    <x v="0"/>
    <x v="4"/>
    <x v="0"/>
    <x v="1"/>
    <s v="رف سحاب"/>
    <s v="نوفال"/>
    <n v="80"/>
    <x v="4"/>
    <s v="بنى غامق "/>
    <s v="غير معروف"/>
    <n v="9029"/>
    <s v="مسبق الدفع"/>
    <n v="0"/>
    <n v="12"/>
    <d v="2024-11-30T00:00:00"/>
    <d v="2024-12-12T00:00:00"/>
    <m/>
    <s v="غير معروف"/>
    <x v="2"/>
  </r>
  <r>
    <s v="تامر"/>
    <x v="0"/>
    <x v="3"/>
    <x v="0"/>
    <x v="1"/>
    <s v="2 ميكانزم"/>
    <s v="كيفنج "/>
    <n v="90"/>
    <x v="7"/>
    <s v="بيج "/>
    <s v="غير معروف"/>
    <n v="9029"/>
    <s v="مسبق الدفع"/>
    <n v="0"/>
    <n v="12"/>
    <d v="2024-11-30T00:00:00"/>
    <d v="2024-12-12T00:00:00"/>
    <m/>
    <s v="غير معروف"/>
    <x v="2"/>
  </r>
  <r>
    <s v="هناء اسامه"/>
    <x v="0"/>
    <x v="4"/>
    <x v="0"/>
    <x v="0"/>
    <s v="دورين "/>
    <s v="نوفال"/>
    <n v="80"/>
    <x v="3"/>
    <s v="اسود"/>
    <s v="غير معروف"/>
    <n v="12099"/>
    <s v="مسبق الدفع"/>
    <n v="0"/>
    <n v="15"/>
    <d v="2024-12-02T00:00:00"/>
    <d v="2024-12-17T00:00:00"/>
    <m/>
    <s v="غير معروف"/>
    <x v="2"/>
  </r>
  <r>
    <s v="اوسكار راتن"/>
    <x v="1"/>
    <x v="0"/>
    <x v="4"/>
    <x v="0"/>
    <s v="دورين "/>
    <s v="كيفنج "/>
    <n v="90"/>
    <x v="0"/>
    <n v="0"/>
    <s v="غير معروف"/>
    <n v="5217"/>
    <s v="حساب شركه"/>
    <n v="9"/>
    <n v="13"/>
    <d v="2024-12-01T00:00:00"/>
    <d v="2024-12-14T00:00:00"/>
    <d v="2024-12-10T00:00:00"/>
    <s v="تم التسليم محمود على "/>
    <x v="0"/>
  </r>
  <r>
    <s v="محمد عادل"/>
    <x v="0"/>
    <x v="4"/>
    <x v="0"/>
    <x v="0"/>
    <s v="منطبق"/>
    <s v="ميكانزم"/>
    <n v="0"/>
    <x v="4"/>
    <s v="اسود"/>
    <s v="غير معروف"/>
    <n v="10249"/>
    <n v="6211"/>
    <n v="15"/>
    <n v="10"/>
    <d v="2024-12-04T00:00:00"/>
    <d v="2024-12-14T00:00:00"/>
    <d v="2024-12-19T00:00:00"/>
    <s v="تم التسليم محمود على "/>
    <x v="0"/>
  </r>
  <r>
    <s v="مريم عنان"/>
    <x v="0"/>
    <x v="4"/>
    <x v="1"/>
    <x v="0"/>
    <s v="دورين"/>
    <s v="كينج"/>
    <n v="80"/>
    <x v="4"/>
    <n v="0"/>
    <s v="غير معروف"/>
    <n v="10445"/>
    <n v="7707"/>
    <n v="3"/>
    <n v="22"/>
    <d v="2024-12-09T00:00:00"/>
    <d v="2024-12-31T00:00:00"/>
    <d v="2024-12-12T00:00:00"/>
    <s v="تم التسليم محمود على "/>
    <x v="0"/>
  </r>
  <r>
    <s v="هبه عطيه"/>
    <x v="0"/>
    <x v="4"/>
    <x v="0"/>
    <x v="1"/>
    <s v="دوران"/>
    <s v="ميكانزم"/>
    <n v="0"/>
    <x v="7"/>
    <s v="بنى غامق"/>
    <s v="غير معروف"/>
    <n v="11199"/>
    <n v="11257"/>
    <n v="7"/>
    <n v="12"/>
    <d v="2024-12-12T00:00:00"/>
    <d v="2024-12-24T00:00:00"/>
    <d v="2024-12-19T00:00:00"/>
    <s v="تم التسليم محمود على "/>
    <x v="0"/>
  </r>
  <r>
    <s v="حمدى ذكرى"/>
    <x v="0"/>
    <x v="0"/>
    <x v="0"/>
    <x v="0"/>
    <s v="دورين"/>
    <s v="نوفال"/>
    <n v="80"/>
    <x v="4"/>
    <n v="0"/>
    <s v="غير معروف"/>
    <n v="13099"/>
    <n v="13231"/>
    <n v="17"/>
    <n v="16"/>
    <d v="2024-12-12T00:00:00"/>
    <d v="2024-12-28T00:00:00"/>
    <d v="2024-12-29T00:00:00"/>
    <s v="تم التسليم محمود على "/>
    <x v="0"/>
  </r>
  <r>
    <s v="شيك هومز"/>
    <x v="1"/>
    <x v="0"/>
    <x v="1"/>
    <x v="2"/>
    <s v="4×1"/>
    <s v="ارينا"/>
    <n v="0"/>
    <x v="7"/>
    <s v="روك ١٠"/>
    <s v="غير معروف"/>
    <n v="8700"/>
    <s v="حساب شركه"/>
    <n v="15"/>
    <n v="22"/>
    <d v="2024-12-14T00:00:00"/>
    <d v="2025-01-05T00:00:00"/>
    <d v="2024-12-29T00:00:00"/>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15582-F395-47A4-8C82-034AF27E88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0">
    <pivotField showAll="0"/>
    <pivotField showAll="0"/>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showAll="0">
      <items count="14">
        <item h="1" x="5"/>
        <item x="4"/>
        <item h="1" m="1" x="10"/>
        <item h="1" x="3"/>
        <item h="1" m="1" x="9"/>
        <item h="1" x="1"/>
        <item h="1" m="1" x="8"/>
        <item h="1" x="2"/>
        <item h="1" x="7"/>
        <item h="1" m="1" x="12"/>
        <item h="1" x="6"/>
        <item h="1" m="1" x="11"/>
        <item h="1" x="0"/>
        <item t="default"/>
      </items>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
        <item x="1"/>
        <item x="2"/>
        <item x="3"/>
        <item x="0"/>
        <item t="default"/>
      </items>
    </pivotField>
  </pivotFields>
  <rowItems count="1">
    <i/>
  </rowItems>
  <colItems count="1">
    <i/>
  </colItems>
  <dataFields count="1">
    <dataField name="Sum of سعر البيع " fld="11"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C7F654-FE5A-4DD8-96EC-47DA912D5FB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C4:AD6" firstHeaderRow="1" firstDataRow="1" firstDataCol="1"/>
  <pivotFields count="20">
    <pivotField showAll="0"/>
    <pivotField showAll="0"/>
    <pivotField axis="axisRow" showAll="0" sortType="descending">
      <items count="61">
        <item h="1" m="1" x="29"/>
        <item h="1" m="1" x="9"/>
        <item h="1" m="1" x="54"/>
        <item h="1" m="1" x="16"/>
        <item h="1" m="1" x="40"/>
        <item h="1" m="1" x="41"/>
        <item h="1" m="1" x="59"/>
        <item h="1" x="6"/>
        <item h="1" m="1" x="47"/>
        <item h="1" m="1" x="43"/>
        <item h="1" m="1" x="50"/>
        <item h="1" m="1" x="27"/>
        <item h="1" m="1" x="48"/>
        <item h="1" m="1" x="44"/>
        <item h="1" m="1" x="15"/>
        <item h="1" m="1" x="21"/>
        <item h="1" m="1" x="37"/>
        <item h="1" m="1" x="45"/>
        <item h="1" x="7"/>
        <item h="1" m="1" x="32"/>
        <item h="1" m="1" x="30"/>
        <item h="1" m="1" x="36"/>
        <item h="1" m="1" x="51"/>
        <item h="1" m="1" x="17"/>
        <item h="1" m="1" x="18"/>
        <item h="1" m="1" x="38"/>
        <item h="1" m="1" x="10"/>
        <item h="1" m="1" x="26"/>
        <item h="1" m="1" x="39"/>
        <item h="1" m="1" x="13"/>
        <item h="1" m="1" x="23"/>
        <item h="1" m="1" x="34"/>
        <item h="1" m="1" x="58"/>
        <item h="1" m="1" x="28"/>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h="1" x="0"/>
        <item h="1" x="1"/>
        <item h="1" x="2"/>
        <item h="1" x="3"/>
        <item x="4"/>
        <item h="1" x="5"/>
        <item h="1" m="1" x="8"/>
        <item t="default"/>
      </items>
      <autoSortScope>
        <pivotArea dataOnly="0" outline="0" fieldPosition="0">
          <references count="1">
            <reference field="4294967294" count="1" selected="0">
              <x v="0"/>
            </reference>
          </references>
        </pivotArea>
      </autoSortScope>
    </pivotField>
    <pivotField showAll="0">
      <items count="14">
        <item h="1" x="5"/>
        <item x="4"/>
        <item h="1" m="1" x="10"/>
        <item h="1" x="3"/>
        <item h="1" m="1" x="9"/>
        <item h="1" x="1"/>
        <item h="1" m="1" x="8"/>
        <item h="1" x="2"/>
        <item h="1" x="7"/>
        <item h="1" m="1" x="12"/>
        <item h="1" x="6"/>
        <item h="1" m="1" x="11"/>
        <item h="1" x="0"/>
        <item t="default"/>
      </items>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
        <item x="1"/>
        <item x="2"/>
        <item x="3"/>
        <item x="0"/>
        <item t="default"/>
      </items>
    </pivotField>
  </pivotFields>
  <rowFields count="1">
    <field x="2"/>
  </rowFields>
  <rowItems count="2">
    <i>
      <x v="57"/>
    </i>
    <i t="grand">
      <x/>
    </i>
  </rowItems>
  <colItems count="1">
    <i/>
  </colItems>
  <dataFields count="1">
    <dataField name="Sum of سعر البيع " fld="11" baseField="0" baseItem="0"/>
  </dataFields>
  <formats count="1">
    <format dxfId="1">
      <pivotArea outline="0" collapsedLevelsAreSubtotals="1" fieldPosition="0"/>
    </format>
  </formats>
  <chartFormats count="9">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2" count="1" selected="0">
            <x v="7"/>
          </reference>
        </references>
      </pivotArea>
    </chartFormat>
    <chartFormat chart="24" format="4">
      <pivotArea type="data" outline="0" fieldPosition="0">
        <references count="2">
          <reference field="4294967294" count="1" selected="0">
            <x v="0"/>
          </reference>
          <reference field="2" count="1" selected="0">
            <x v="58"/>
          </reference>
        </references>
      </pivotArea>
    </chartFormat>
    <chartFormat chart="24" format="5">
      <pivotArea type="data" outline="0" fieldPosition="0">
        <references count="2">
          <reference field="4294967294" count="1" selected="0">
            <x v="0"/>
          </reference>
          <reference field="2" count="1" selected="0">
            <x v="18"/>
          </reference>
        </references>
      </pivotArea>
    </chartFormat>
    <chartFormat chart="24" format="6">
      <pivotArea type="data" outline="0" fieldPosition="0">
        <references count="2">
          <reference field="4294967294" count="1" selected="0">
            <x v="0"/>
          </reference>
          <reference field="2" count="1" selected="0">
            <x v="55"/>
          </reference>
        </references>
      </pivotArea>
    </chartFormat>
    <chartFormat chart="24" format="7">
      <pivotArea type="data" outline="0" fieldPosition="0">
        <references count="2">
          <reference field="4294967294" count="1" selected="0">
            <x v="0"/>
          </reference>
          <reference field="2" count="1" selected="0">
            <x v="54"/>
          </reference>
        </references>
      </pivotArea>
    </chartFormat>
    <chartFormat chart="24" format="8">
      <pivotArea type="data" outline="0" fieldPosition="0">
        <references count="2">
          <reference field="4294967294" count="1" selected="0">
            <x v="0"/>
          </reference>
          <reference field="2" count="1" selected="0">
            <x v="56"/>
          </reference>
        </references>
      </pivotArea>
    </chartFormat>
    <chartFormat chart="24" format="9">
      <pivotArea type="data" outline="0" fieldPosition="0">
        <references count="2">
          <reference field="4294967294" count="1" selected="0">
            <x v="0"/>
          </reference>
          <reference field="2" count="1" selected="0">
            <x v="53"/>
          </reference>
        </references>
      </pivotArea>
    </chartFormat>
    <chartFormat chart="24" format="10">
      <pivotArea type="data" outline="0" fieldPosition="0">
        <references count="2">
          <reference field="4294967294" count="1" selected="0">
            <x v="0"/>
          </reference>
          <reference field="2" count="1" selected="0">
            <x v="5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5C5C02-E674-4670-B8AE-4E0B766859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20">
    <pivotField showAll="0"/>
    <pivotField showAll="0"/>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axis="axisRow" dataField="1" showAll="0">
      <items count="14">
        <item h="1" x="5"/>
        <item h="1" m="1" x="10"/>
        <item h="1" x="3"/>
        <item h="1" m="1" x="9"/>
        <item h="1" x="1"/>
        <item h="1" m="1" x="8"/>
        <item h="1" x="2"/>
        <item h="1" m="1" x="12"/>
        <item h="1" x="6"/>
        <item h="1" m="1" x="11"/>
        <item h="1" x="0"/>
        <item x="4"/>
        <item h="1" x="7"/>
        <item t="default"/>
      </items>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s>
  <rowFields count="1">
    <field x="3"/>
  </rowFields>
  <rowItems count="2">
    <i>
      <x v="11"/>
    </i>
    <i t="grand">
      <x/>
    </i>
  </rowItems>
  <colItems count="1">
    <i/>
  </colItems>
  <dataFields count="1">
    <dataField name="Count of منصة البيع " fld="3"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A3F6E7-040F-4C58-822D-54C5FF79F5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2:H25" firstHeaderRow="1" firstDataRow="1" firstDataCol="1"/>
  <pivotFields count="20">
    <pivotField showAll="0"/>
    <pivotField showAll="0"/>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showAll="0">
      <items count="14">
        <item h="1" x="5"/>
        <item x="4"/>
        <item h="1" m="1" x="10"/>
        <item h="1" x="3"/>
        <item h="1" m="1" x="9"/>
        <item h="1" x="1"/>
        <item h="1" m="1" x="8"/>
        <item h="1" x="2"/>
        <item h="1" x="7"/>
        <item h="1" m="1" x="12"/>
        <item h="1" x="6"/>
        <item h="1" m="1" x="11"/>
        <item h="1" x="0"/>
        <item t="default"/>
      </items>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axis="axisRow" showAll="0" sortType="descending">
      <items count="12">
        <item x="3"/>
        <item x="0"/>
        <item x="4"/>
        <item x="7"/>
        <item x="6"/>
        <item x="9"/>
        <item x="5"/>
        <item x="2"/>
        <item x="1"/>
        <item x="8"/>
        <item x="1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items count="5">
        <item x="1"/>
        <item x="2"/>
        <item x="3"/>
        <item x="0"/>
        <item t="default"/>
      </items>
    </pivotField>
  </pivotFields>
  <rowFields count="1">
    <field x="8"/>
  </rowFields>
  <rowItems count="3">
    <i>
      <x v="2"/>
    </i>
    <i>
      <x v="9"/>
    </i>
    <i t="grand">
      <x/>
    </i>
  </rowItems>
  <colItems count="1">
    <i/>
  </colItems>
  <dataFields count="1">
    <dataField name="Sum of سعر البيع " fld="11" baseField="0" baseItem="0" numFmtId="166"/>
  </dataFields>
  <formats count="1">
    <format dxfId="3">
      <pivotArea outline="0" collapsedLevelsAreSubtotals="1" fieldPosition="0"/>
    </format>
  </formats>
  <chartFormats count="1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 chart="4" format="4">
      <pivotArea type="data" outline="0" fieldPosition="0">
        <references count="2">
          <reference field="4294967294" count="1" selected="0">
            <x v="0"/>
          </reference>
          <reference field="8" count="1" selected="0">
            <x v="10"/>
          </reference>
        </references>
      </pivotArea>
    </chartFormat>
    <chartFormat chart="4" format="5">
      <pivotArea type="data" outline="0" fieldPosition="0">
        <references count="2">
          <reference field="4294967294" count="1" selected="0">
            <x v="0"/>
          </reference>
          <reference field="8" count="1" selected="0">
            <x v="6"/>
          </reference>
        </references>
      </pivotArea>
    </chartFormat>
    <chartFormat chart="4" format="6">
      <pivotArea type="data" outline="0" fieldPosition="0">
        <references count="2">
          <reference field="4294967294" count="1" selected="0">
            <x v="0"/>
          </reference>
          <reference field="8" count="1" selected="0">
            <x v="4"/>
          </reference>
        </references>
      </pivotArea>
    </chartFormat>
    <chartFormat chart="4" format="7">
      <pivotArea type="data" outline="0" fieldPosition="0">
        <references count="2">
          <reference field="4294967294" count="1" selected="0">
            <x v="0"/>
          </reference>
          <reference field="8" count="1" selected="0">
            <x v="5"/>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9"/>
          </reference>
        </references>
      </pivotArea>
    </chartFormat>
    <chartFormat chart="4" format="10">
      <pivotArea type="data" outline="0" fieldPosition="0">
        <references count="2">
          <reference field="4294967294" count="1" selected="0">
            <x v="0"/>
          </reference>
          <reference field="8" count="1" selected="0">
            <x v="7"/>
          </reference>
        </references>
      </pivotArea>
    </chartFormat>
    <chartFormat chart="4" format="11">
      <pivotArea type="data" outline="0" fieldPosition="0">
        <references count="2">
          <reference field="4294967294" count="1" selected="0">
            <x v="0"/>
          </reference>
          <reference field="8" count="1" selected="0">
            <x v="8"/>
          </reference>
        </references>
      </pivotArea>
    </chartFormat>
    <chartFormat chart="4" format="12">
      <pivotArea type="data" outline="0" fieldPosition="0">
        <references count="2">
          <reference field="4294967294" count="1" selected="0">
            <x v="0"/>
          </reference>
          <reference field="8" count="1" selected="0">
            <x v="3"/>
          </reference>
        </references>
      </pivotArea>
    </chartFormat>
    <chartFormat chart="4" format="1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2FEF11-E832-467D-A0DD-F40B813503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W5" firstHeaderRow="1" firstDataRow="1" firstDataCol="0"/>
  <pivotFields count="20">
    <pivotField showAll="0"/>
    <pivotField showAll="0"/>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showAll="0">
      <items count="14">
        <item h="1" x="5"/>
        <item x="4"/>
        <item h="1" m="1" x="10"/>
        <item h="1" x="3"/>
        <item h="1" m="1" x="9"/>
        <item h="1" x="1"/>
        <item h="1" m="1" x="8"/>
        <item h="1" x="2"/>
        <item h="1" x="7"/>
        <item h="1" m="1" x="12"/>
        <item h="1" x="6"/>
        <item h="1" m="1" x="11"/>
        <item h="1" x="0"/>
        <item t="default"/>
      </items>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5">
        <item x="1"/>
        <item x="2"/>
        <item x="3"/>
        <item x="0"/>
        <item t="default"/>
      </items>
    </pivotField>
  </pivotFields>
  <rowItems count="1">
    <i/>
  </rowItems>
  <colItems count="1">
    <i/>
  </colItems>
  <dataFields count="1">
    <dataField name="Average of مدة التسليم (المفترضه)" fld="14" subtotal="average"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3F446D-784F-4D6D-B00F-837D4DCC16A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I4:AJ7" firstHeaderRow="1" firstDataRow="1" firstDataCol="1"/>
  <pivotFields count="20">
    <pivotField showAll="0"/>
    <pivotField showAll="0"/>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showAll="0">
      <items count="14">
        <item h="1" x="5"/>
        <item x="4"/>
        <item h="1" m="1" x="10"/>
        <item h="1" x="3"/>
        <item h="1" m="1" x="9"/>
        <item h="1" x="1"/>
        <item h="1" m="1" x="8"/>
        <item h="1" x="2"/>
        <item h="1" x="7"/>
        <item h="1" m="1" x="12"/>
        <item h="1" x="6"/>
        <item h="1" m="1" x="11"/>
        <item h="1" x="0"/>
        <item t="default"/>
      </items>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3"/>
        <item x="0"/>
        <item t="default"/>
      </items>
    </pivotField>
  </pivotFields>
  <rowFields count="1">
    <field x="19"/>
  </rowFields>
  <rowItems count="3">
    <i>
      <x v="1"/>
    </i>
    <i>
      <x v="3"/>
    </i>
    <i t="grand">
      <x/>
    </i>
  </rowItems>
  <colItems count="1">
    <i/>
  </colItems>
  <dataFields count="1">
    <dataField name="Count of الحالة" fld="19" subtotal="count" baseField="0" baseItem="0"/>
  </dataFields>
  <formats count="1">
    <format dxfId="5">
      <pivotArea outline="0" collapsedLevelsAreSubtotals="1" fieldPosition="0"/>
    </format>
  </formats>
  <chartFormats count="5">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19" count="1" selected="0">
            <x v="0"/>
          </reference>
        </references>
      </pivotArea>
    </chartFormat>
    <chartFormat chart="20" format="12">
      <pivotArea type="data" outline="0" fieldPosition="0">
        <references count="2">
          <reference field="4294967294" count="1" selected="0">
            <x v="0"/>
          </reference>
          <reference field="19" count="1" selected="0">
            <x v="1"/>
          </reference>
        </references>
      </pivotArea>
    </chartFormat>
    <chartFormat chart="20" format="13">
      <pivotArea type="data" outline="0" fieldPosition="0">
        <references count="2">
          <reference field="4294967294" count="1" selected="0">
            <x v="0"/>
          </reference>
          <reference field="19" count="1" selected="0">
            <x v="2"/>
          </reference>
        </references>
      </pivotArea>
    </chartFormat>
    <chartFormat chart="20" format="14">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C465D1-7875-4920-89F3-C435C4A809D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O4:AP7" firstHeaderRow="1" firstDataRow="1" firstDataCol="1"/>
  <pivotFields count="20">
    <pivotField showAll="0"/>
    <pivotField axis="axisRow" dataField="1" showAll="0">
      <items count="3">
        <item x="0"/>
        <item x="1"/>
        <item t="default"/>
      </items>
    </pivotField>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showAll="0">
      <items count="14">
        <item h="1" x="5"/>
        <item x="4"/>
        <item h="1" m="1" x="10"/>
        <item h="1" x="3"/>
        <item h="1" m="1" x="9"/>
        <item h="1" x="1"/>
        <item h="1" m="1" x="8"/>
        <item h="1" x="2"/>
        <item h="1" x="7"/>
        <item h="1" m="1" x="12"/>
        <item h="1" x="6"/>
        <item h="1" m="1" x="11"/>
        <item h="1" x="0"/>
        <item t="default"/>
      </items>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s>
  <rowFields count="1">
    <field x="1"/>
  </rowFields>
  <rowItems count="3">
    <i>
      <x/>
    </i>
    <i>
      <x v="1"/>
    </i>
    <i t="grand">
      <x/>
    </i>
  </rowItems>
  <colItems count="1">
    <i/>
  </colItems>
  <dataFields count="1">
    <dataField name="Count of نوع العميل" fld="1" subtotal="count" baseField="0" baseItem="0"/>
  </dataFields>
  <formats count="1">
    <format dxfId="6">
      <pivotArea outline="0" collapsedLevelsAreSubtotals="1" fieldPosition="0"/>
    </format>
  </formats>
  <chartFormats count="6">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1" count="1" selected="0">
            <x v="0"/>
          </reference>
        </references>
      </pivotArea>
    </chartFormat>
    <chartFormat chart="16" format="5">
      <pivotArea type="data" outline="0" fieldPosition="0">
        <references count="2">
          <reference field="4294967294" count="1" selected="0">
            <x v="0"/>
          </reference>
          <reference field="1"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 count="1" selected="0">
            <x v="0"/>
          </reference>
        </references>
      </pivotArea>
    </chartFormat>
    <chartFormat chart="18"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A2959E-0252-463C-89B0-122A810FCF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M5" firstHeaderRow="1" firstDataRow="1" firstDataCol="0"/>
  <pivotFields count="20">
    <pivotField showAll="0"/>
    <pivotField showAll="0"/>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showAll="0">
      <items count="14">
        <item h="1" x="5"/>
        <item x="4"/>
        <item h="1" m="1" x="10"/>
        <item h="1" x="3"/>
        <item h="1" m="1" x="9"/>
        <item h="1" x="1"/>
        <item h="1" m="1" x="8"/>
        <item h="1" x="2"/>
        <item h="1" x="7"/>
        <item h="1" m="1" x="12"/>
        <item h="1" x="6"/>
        <item h="1" m="1" x="11"/>
        <item h="1" x="0"/>
        <item t="default"/>
      </items>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
        <item x="1"/>
        <item x="2"/>
        <item x="3"/>
        <item x="0"/>
        <item t="default"/>
      </items>
    </pivotField>
  </pivotFields>
  <rowItems count="1">
    <i/>
  </rowItems>
  <colItems count="1">
    <i/>
  </colItems>
  <dataFields count="1">
    <dataField name="Average of سعر البيع " fld="11" subtotal="average" baseField="0" baseItem="0" numFmtId="166"/>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7A1A41-A048-47C3-8CE7-855952FC958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Q4:R6" firstHeaderRow="1" firstDataRow="1" firstDataCol="1"/>
  <pivotFields count="20">
    <pivotField showAll="0"/>
    <pivotField showAll="0"/>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axis="axisRow" dataField="1" showAll="0" sortType="descending">
      <items count="14">
        <item h="1" x="5"/>
        <item h="1" m="1" x="10"/>
        <item h="1" x="3"/>
        <item h="1" m="1" x="9"/>
        <item h="1" x="1"/>
        <item h="1" m="1" x="8"/>
        <item h="1" x="2"/>
        <item h="1" m="1" x="12"/>
        <item h="1" x="6"/>
        <item h="1" m="1" x="11"/>
        <item h="1" x="0"/>
        <item x="4"/>
        <item h="1" x="7"/>
        <item t="default"/>
      </items>
      <autoSortScope>
        <pivotArea dataOnly="0" outline="0" fieldPosition="0">
          <references count="1">
            <reference field="4294967294" count="1" selected="0">
              <x v="0"/>
            </reference>
          </references>
        </pivotArea>
      </autoSortScope>
    </pivotField>
    <pivotField showAll="0">
      <items count="13">
        <item h="1" x="1"/>
        <item h="1" m="1" x="11"/>
        <item h="1" m="1" x="8"/>
        <item h="1" x="3"/>
        <item x="0"/>
        <item h="1" m="1" x="7"/>
        <item h="1" x="5"/>
        <item h="1" x="4"/>
        <item h="1" x="2"/>
        <item h="1" m="1" x="6"/>
        <item h="1" m="1" x="9"/>
        <item h="1" m="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s>
  <rowFields count="1">
    <field x="3"/>
  </rowFields>
  <rowItems count="2">
    <i>
      <x v="11"/>
    </i>
    <i t="grand">
      <x/>
    </i>
  </rowItems>
  <colItems count="1">
    <i/>
  </colItems>
  <dataFields count="1">
    <dataField name="Count of منصة البيع " fld="3" subtotal="count" baseField="0" baseItem="0"/>
  </dataFields>
  <formats count="1">
    <format dxfId="8">
      <pivotArea outline="0" collapsedLevelsAreSubtotals="1" fieldPosition="0"/>
    </format>
  </formats>
  <chartFormats count="10">
    <chartFormat chart="6" format="0" series="1">
      <pivotArea type="data" outline="0" fieldPosition="0">
        <references count="1">
          <reference field="4294967294" count="1" selected="0">
            <x v="0"/>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3" count="1" selected="0">
            <x v="10"/>
          </reference>
        </references>
      </pivotArea>
    </chartFormat>
    <chartFormat chart="8" format="21">
      <pivotArea type="data" outline="0" fieldPosition="0">
        <references count="2">
          <reference field="4294967294" count="1" selected="0">
            <x v="0"/>
          </reference>
          <reference field="3" count="1" selected="0">
            <x v="4"/>
          </reference>
        </references>
      </pivotArea>
    </chartFormat>
    <chartFormat chart="8" format="22">
      <pivotArea type="data" outline="0" fieldPosition="0">
        <references count="2">
          <reference field="4294967294" count="1" selected="0">
            <x v="0"/>
          </reference>
          <reference field="3" count="1" selected="0">
            <x v="11"/>
          </reference>
        </references>
      </pivotArea>
    </chartFormat>
    <chartFormat chart="8" format="23">
      <pivotArea type="data" outline="0" fieldPosition="0">
        <references count="2">
          <reference field="4294967294" count="1" selected="0">
            <x v="0"/>
          </reference>
          <reference field="3" count="1" selected="0">
            <x v="2"/>
          </reference>
        </references>
      </pivotArea>
    </chartFormat>
    <chartFormat chart="8" format="24">
      <pivotArea type="data" outline="0" fieldPosition="0">
        <references count="2">
          <reference field="4294967294" count="1" selected="0">
            <x v="0"/>
          </reference>
          <reference field="3" count="1" selected="0">
            <x v="0"/>
          </reference>
        </references>
      </pivotArea>
    </chartFormat>
    <chartFormat chart="8" format="25">
      <pivotArea type="data" outline="0" fieldPosition="0">
        <references count="2">
          <reference field="4294967294" count="1" selected="0">
            <x v="0"/>
          </reference>
          <reference field="3" count="1" selected="0">
            <x v="6"/>
          </reference>
        </references>
      </pivotArea>
    </chartFormat>
    <chartFormat chart="8" format="26">
      <pivotArea type="data" outline="0" fieldPosition="0">
        <references count="2">
          <reference field="4294967294" count="1" selected="0">
            <x v="0"/>
          </reference>
          <reference field="3" count="1" selected="0">
            <x v="8"/>
          </reference>
        </references>
      </pivotArea>
    </chartFormat>
    <chartFormat chart="8" format="27">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C3FCF1-7BCD-4758-A41B-1DCD89C61F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4:C16" firstHeaderRow="1" firstDataRow="1" firstDataCol="1"/>
  <pivotFields count="20">
    <pivotField showAll="0"/>
    <pivotField showAll="0"/>
    <pivotField showAll="0">
      <items count="61">
        <item h="1" m="1" x="29"/>
        <item h="1" m="1" x="9"/>
        <item h="1" m="1" x="54"/>
        <item h="1" m="1" x="16"/>
        <item h="1" m="1" x="40"/>
        <item h="1" m="1" x="41"/>
        <item h="1" m="1" x="8"/>
        <item h="1" m="1" x="59"/>
        <item h="1" x="6"/>
        <item h="1" m="1" x="47"/>
        <item h="1" m="1" x="43"/>
        <item h="1" m="1" x="50"/>
        <item h="1" m="1" x="27"/>
        <item h="1" x="1"/>
        <item h="1" x="3"/>
        <item h="1" m="1" x="48"/>
        <item h="1" m="1" x="44"/>
        <item h="1" m="1" x="15"/>
        <item h="1" m="1" x="21"/>
        <item h="1" x="0"/>
        <item h="1" m="1" x="37"/>
        <item h="1" m="1" x="45"/>
        <item h="1" x="2"/>
        <item h="1" x="7"/>
        <item h="1" m="1" x="32"/>
        <item h="1" m="1" x="30"/>
        <item h="1" m="1" x="36"/>
        <item h="1" m="1" x="51"/>
        <item h="1" m="1" x="17"/>
        <item h="1" m="1" x="18"/>
        <item h="1" m="1" x="38"/>
        <item h="1" m="1" x="10"/>
        <item h="1" m="1" x="26"/>
        <item h="1" m="1" x="39"/>
        <item h="1" m="1" x="13"/>
        <item x="4"/>
        <item h="1" m="1" x="23"/>
        <item h="1" m="1" x="34"/>
        <item h="1" m="1" x="58"/>
        <item h="1" m="1" x="28"/>
        <item h="1" x="5"/>
        <item h="1" m="1" x="53"/>
        <item h="1" m="1" x="42"/>
        <item h="1" m="1" x="24"/>
        <item h="1" m="1" x="49"/>
        <item h="1" m="1" x="20"/>
        <item h="1" m="1" x="57"/>
        <item h="1" m="1" x="56"/>
        <item h="1" m="1" x="31"/>
        <item h="1" m="1" x="11"/>
        <item h="1" m="1" x="12"/>
        <item h="1" m="1" x="55"/>
        <item h="1" m="1" x="35"/>
        <item h="1" m="1" x="33"/>
        <item h="1" m="1" x="25"/>
        <item h="1" m="1" x="46"/>
        <item h="1" m="1" x="52"/>
        <item h="1" m="1" x="22"/>
        <item h="1" m="1" x="19"/>
        <item h="1" m="1" x="14"/>
        <item t="default"/>
      </items>
    </pivotField>
    <pivotField showAll="0">
      <items count="14">
        <item h="1" x="5"/>
        <item x="4"/>
        <item h="1" m="1" x="10"/>
        <item h="1" x="3"/>
        <item h="1" m="1" x="9"/>
        <item h="1" x="1"/>
        <item h="1" m="1" x="8"/>
        <item h="1" x="2"/>
        <item h="1" x="7"/>
        <item h="1" m="1" x="12"/>
        <item h="1" x="6"/>
        <item h="1" m="1" x="11"/>
        <item h="1" x="0"/>
        <item t="default"/>
      </items>
    </pivotField>
    <pivotField axis="axisRow" showAll="0" sortType="descending">
      <items count="13">
        <item h="1" x="1"/>
        <item h="1" m="1" x="11"/>
        <item h="1" m="1" x="8"/>
        <item h="1" x="3"/>
        <item x="0"/>
        <item h="1" m="1" x="7"/>
        <item h="1" x="5"/>
        <item h="1" x="4"/>
        <item h="1" x="2"/>
        <item h="1" m="1" x="6"/>
        <item h="1" m="1" x="9"/>
        <item h="1" m="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
        <item x="1"/>
        <item x="2"/>
        <item x="3"/>
        <item x="0"/>
        <item t="default"/>
      </items>
    </pivotField>
  </pivotFields>
  <rowFields count="1">
    <field x="4"/>
  </rowFields>
  <rowItems count="2">
    <i>
      <x v="4"/>
    </i>
    <i t="grand">
      <x/>
    </i>
  </rowItems>
  <colItems count="1">
    <i/>
  </colItems>
  <dataFields count="1">
    <dataField name="Sum of سعر البيع " fld="11" baseField="3" baseItem="0"/>
  </dataFields>
  <formats count="1">
    <format dxfId="9">
      <pivotArea outline="0" collapsedLevelsAreSubtotals="1" fieldPosition="0"/>
    </format>
  </formats>
  <chartFormats count="5">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4" count="1" selected="0">
            <x v="9"/>
          </reference>
        </references>
      </pivotArea>
    </chartFormat>
    <chartFormat chart="12" format="6">
      <pivotArea type="data" outline="0" fieldPosition="0">
        <references count="2">
          <reference field="4294967294" count="1" selected="0">
            <x v="0"/>
          </reference>
          <reference field="4" count="1" selected="0">
            <x v="4"/>
          </reference>
        </references>
      </pivotArea>
    </chartFormat>
    <chartFormat chart="12" format="7">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عنوان" xr10:uid="{E0CFF188-1F5A-4DC9-BC11-F62113252214}" sourceName="العنوان">
  <pivotTables>
    <pivotTable tabId="9" name="PivotTable11"/>
    <pivotTable tabId="9" name="PivotTable1"/>
    <pivotTable tabId="9" name="PivotTable10"/>
    <pivotTable tabId="9" name="PivotTable2"/>
    <pivotTable tabId="9" name="PivotTable3"/>
    <pivotTable tabId="9" name="PivotTable5"/>
    <pivotTable tabId="9" name="PivotTable6"/>
    <pivotTable tabId="9" name="PivotTable7"/>
    <pivotTable tabId="9" name="PivotTable8"/>
    <pivotTable tabId="9" name="PivotTable9"/>
  </pivotTables>
  <data>
    <tabular pivotCacheId="2025191482">
      <items count="60">
        <i x="0"/>
        <i x="4" s="1"/>
        <i x="5"/>
        <i x="29" nd="1"/>
        <i x="9" nd="1"/>
        <i x="54" nd="1"/>
        <i x="16" nd="1"/>
        <i x="40" nd="1"/>
        <i x="41" nd="1"/>
        <i x="8" nd="1"/>
        <i x="59" nd="1"/>
        <i x="6" nd="1"/>
        <i x="47" nd="1"/>
        <i x="43" nd="1"/>
        <i x="50" nd="1"/>
        <i x="27" nd="1"/>
        <i x="1" nd="1"/>
        <i x="3" nd="1"/>
        <i x="48" nd="1"/>
        <i x="44" nd="1"/>
        <i x="15" nd="1"/>
        <i x="21" nd="1"/>
        <i x="37" nd="1"/>
        <i x="45" nd="1"/>
        <i x="2" nd="1"/>
        <i x="7" nd="1"/>
        <i x="32" nd="1"/>
        <i x="30" nd="1"/>
        <i x="36" nd="1"/>
        <i x="51" nd="1"/>
        <i x="17" nd="1"/>
        <i x="18" nd="1"/>
        <i x="38" nd="1"/>
        <i x="10" nd="1"/>
        <i x="26" nd="1"/>
        <i x="39" nd="1"/>
        <i x="13" nd="1"/>
        <i x="23" nd="1"/>
        <i x="34" nd="1"/>
        <i x="58" nd="1"/>
        <i x="28" nd="1"/>
        <i x="53" nd="1"/>
        <i x="42" nd="1"/>
        <i x="24" nd="1"/>
        <i x="49" nd="1"/>
        <i x="20" nd="1"/>
        <i x="57" nd="1"/>
        <i x="56" nd="1"/>
        <i x="31" nd="1"/>
        <i x="11" nd="1"/>
        <i x="12" nd="1"/>
        <i x="55" nd="1"/>
        <i x="35" nd="1"/>
        <i x="33" nd="1"/>
        <i x="25" nd="1"/>
        <i x="46" nd="1"/>
        <i x="52" nd="1"/>
        <i x="22" nd="1"/>
        <i x="19" nd="1"/>
        <i x="1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F0EC0FAD-9E58-4185-8F27-A3BEB4773D10}" sourceName="الحالة">
  <pivotTables>
    <pivotTable tabId="9" name="PivotTable9"/>
    <pivotTable tabId="9" name="PivotTable1"/>
    <pivotTable tabId="9" name="PivotTable10"/>
    <pivotTable tabId="9" name="PivotTable11"/>
    <pivotTable tabId="9" name="PivotTable2"/>
    <pivotTable tabId="9" name="PivotTable3"/>
    <pivotTable tabId="9" name="PivotTable5"/>
    <pivotTable tabId="9" name="PivotTable6"/>
    <pivotTable tabId="9" name="PivotTable7"/>
    <pivotTable tabId="9" name="PivotTable8"/>
  </pivotTables>
  <data>
    <tabular pivotCacheId="2025191482">
      <items count="4">
        <i x="2" s="1"/>
        <i x="0" s="1"/>
        <i x="1"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منتج" xr10:uid="{5707AB41-A85E-4E37-90C2-EA2BB59D5E95}" sourceName="نوع المنتج">
  <pivotTables>
    <pivotTable tabId="9" name="PivotTable5"/>
    <pivotTable tabId="9" name="PivotTable1"/>
    <pivotTable tabId="9" name="PivotTable10"/>
    <pivotTable tabId="9" name="PivotTable11"/>
    <pivotTable tabId="9" name="PivotTable2"/>
    <pivotTable tabId="9" name="PivotTable3"/>
    <pivotTable tabId="9" name="PivotTable6"/>
    <pivotTable tabId="9" name="PivotTable7"/>
    <pivotTable tabId="9" name="PivotTable8"/>
    <pivotTable tabId="9" name="PivotTable9"/>
  </pivotTables>
  <data>
    <tabular pivotCacheId="2025191482">
      <items count="12">
        <i x="0" s="1"/>
        <i x="1" nd="1"/>
        <i x="11" nd="1"/>
        <i x="8" nd="1"/>
        <i x="3" nd="1"/>
        <i x="7" nd="1"/>
        <i x="5" nd="1"/>
        <i x="4" nd="1"/>
        <i x="2" nd="1"/>
        <i x="6" nd="1"/>
        <i x="9" nd="1"/>
        <i x="1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0679C615-C886-44C0-B5FB-0DD52B814740}" sourceName="منصة البيع ">
  <pivotTables>
    <pivotTable tabId="9" name="PivotTable11"/>
    <pivotTable tabId="9" name="PivotTable1"/>
    <pivotTable tabId="9" name="PivotTable10"/>
    <pivotTable tabId="9" name="PivotTable2"/>
    <pivotTable tabId="9" name="PivotTable3"/>
    <pivotTable tabId="9" name="PivotTable5"/>
    <pivotTable tabId="9" name="PivotTable6"/>
    <pivotTable tabId="9" name="PivotTable7"/>
    <pivotTable tabId="9" name="PivotTable8"/>
    <pivotTable tabId="9" name="PivotTable9"/>
  </pivotTables>
  <data>
    <tabular pivotCacheId="2025191482">
      <items count="13">
        <i x="4" s="1"/>
        <i x="3"/>
        <i x="1"/>
        <i x="2"/>
        <i x="6"/>
        <i x="0"/>
        <i x="5" nd="1"/>
        <i x="10" nd="1"/>
        <i x="9" nd="1"/>
        <i x="8" nd="1"/>
        <i x="7" nd="1"/>
        <i x="12"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عنوان" xr10:uid="{05335971-7D11-4D54-BF64-570416A2FCDA}" cache="Slicer_العنوان" caption="العنوان" columnCount="2" style="Slicer Style 1" rowHeight="241300"/>
  <slicer name="الحالة" xr10:uid="{43BC76A8-BF01-4111-A1E2-70691AE4C5D2}" cache="Slicer_الحالة" caption="الحالة" columnCount="2" style="Slicer Style 1" rowHeight="241300"/>
  <slicer name="نوع المنتج" xr10:uid="{286AE910-2C55-40C1-B8D0-0D0176C088CB}" cache="Slicer_نوع_المنتج" caption="نوع المنتج" columnCount="2" style="Slicer Style 1" rowHeight="241300"/>
  <slicer name="منصة البيع " xr10:uid="{FF8D3B4F-08AB-4163-813C-79E03116668A}" cache="Slicer_منصة_البيع" caption="منصة البيع "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A46B64-E7C5-42FA-9817-E21EAEA8640E}" name="store" displayName="store" ref="A1:T127" totalsRowShown="0">
  <autoFilter ref="A1:T127" xr:uid="{01A46B64-E7C5-42FA-9817-E21EAEA8640E}"/>
  <tableColumns count="20">
    <tableColumn id="1" xr3:uid="{3C9EAD56-444B-4F22-BC32-8664E2D353F7}" name="أسم العميل"/>
    <tableColumn id="18" xr3:uid="{24D2B1F4-72E2-4B20-9F04-307E28E94F97}" name="نوع العميل"/>
    <tableColumn id="2" xr3:uid="{D78CCC39-003E-4ABF-9C78-DD9E792BD9D1}" name="العنوان"/>
    <tableColumn id="3" xr3:uid="{637E2E30-01E6-47DA-8B39-41FCA942EE3F}" name="منصة البيع "/>
    <tableColumn id="4" xr3:uid="{2D62B89D-FBDB-4234-BE07-0AD94038C4D4}" name="نوع المنتج"/>
    <tableColumn id="5" xr3:uid="{D1E143B7-071F-4C72-9A79-6CA311EAAFD5}" name="الصنف"/>
    <tableColumn id="6" xr3:uid="{2928A04F-DE24-4E7E-A789-298B8C904EA4}" name="الاسم"/>
    <tableColumn id="7" xr3:uid="{DCBC9714-837E-4116-A220-556B46FC062F}" name="المقاس"/>
    <tableColumn id="8" xr3:uid="{03365E3A-273E-4092-8FE7-BF150E84374C}" name="اللون المعدن"/>
    <tableColumn id="9" xr3:uid="{48BCC491-461E-45FC-9C9C-CBDB62B92B88}" name="لون القماش"/>
    <tableColumn id="10" xr3:uid="{4C46F984-AE2B-4213-85C3-BB2E3C789D09}" name="المنتج" dataDxfId="16"/>
    <tableColumn id="11" xr3:uid="{D07ED78F-01F2-41AC-B844-B8557B522B2B}" name="سعر البيع " dataDxfId="15"/>
    <tableColumn id="12" xr3:uid="{8FFD14B6-79D1-425A-854F-2DADE925A6C4}" name="طريقه الدفع "/>
    <tableColumn id="20" xr3:uid="{1E4547CC-612C-4CE9-A9F2-069725F62E5C}" name="مدة التسليم (الفعليه)" dataDxfId="14">
      <calculatedColumnFormula>IF(OR(ISBLANK(store[[#This Row],[تاريخ التسليم]]),ISBLANK(store[[#This Row],[ميعاد الطلب]])),0,store[[#This Row],[تاريخ التسليم]]-store[[#This Row],[ميعاد الطلب]])</calculatedColumnFormula>
    </tableColumn>
    <tableColumn id="19" xr3:uid="{E9639143-B9D0-4928-B34E-6FF4C84BB08E}" name="مدة التسليم (المفترضه)" dataDxfId="13">
      <calculatedColumnFormula>IF(OR(ISBLANK(store[[#This Row],[ميعاد التسليم]]),ISBLANK(store[[#This Row],[ميعاد الطلب]])),0,store[[#This Row],[ميعاد التسليم]]-store[[#This Row],[ميعاد الطلب]])</calculatedColumnFormula>
    </tableColumn>
    <tableColumn id="13" xr3:uid="{0CD990EA-DA6B-475F-B2F5-784F759A849C}" name="ميعاد الطلب" dataDxfId="12"/>
    <tableColumn id="14" xr3:uid="{845E901B-1E3E-4931-B505-456C1353F089}" name="ميعاد التسليم" dataDxfId="11"/>
    <tableColumn id="15" xr3:uid="{06C1E60A-5E19-4E2D-BCD3-284635DDBAA8}" name="تاريخ التسليم" dataDxfId="10"/>
    <tableColumn id="16" xr3:uid="{A5110724-ECFD-4175-939B-0EABF0654CF3}" name="المسئول عن التسليم"/>
    <tableColumn id="17" xr3:uid="{6670E452-9BC2-4EF7-96B1-38A5DDBBA051}" name="الحالة"/>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40"/>
  <sheetViews>
    <sheetView rightToLeft="1" topLeftCell="A12" zoomScale="66" zoomScaleNormal="66" workbookViewId="0">
      <selection activeCell="E36" sqref="E36"/>
    </sheetView>
  </sheetViews>
  <sheetFormatPr defaultColWidth="8.85546875" defaultRowHeight="15" x14ac:dyDescent="0.25"/>
  <cols>
    <col min="1" max="1" width="8.85546875" style="1" bestFit="1" customWidth="1"/>
    <col min="2" max="2" width="16.42578125" style="1" bestFit="1" customWidth="1"/>
    <col min="3" max="3" width="16.28515625" style="1" bestFit="1" customWidth="1"/>
    <col min="4" max="4" width="16.85546875" style="1" bestFit="1" customWidth="1"/>
    <col min="5" max="5" width="31" style="1" bestFit="1" customWidth="1"/>
    <col min="6" max="6" width="27.85546875" style="1" bestFit="1" customWidth="1"/>
    <col min="7" max="7" width="16.7109375" style="1" bestFit="1" customWidth="1"/>
    <col min="8" max="8" width="6.5703125" style="1" bestFit="1" customWidth="1"/>
    <col min="9" max="9" width="8.85546875" style="1" bestFit="1" customWidth="1"/>
    <col min="10" max="10" width="12.140625" style="1" bestFit="1" customWidth="1"/>
    <col min="11" max="11" width="13.5703125" style="1" bestFit="1" customWidth="1"/>
    <col min="12" max="12" width="17.42578125" style="1" bestFit="1" customWidth="1"/>
    <col min="13" max="13" width="16.7109375" style="1" customWidth="1"/>
    <col min="14" max="14" width="37.28515625" style="1" bestFit="1" customWidth="1"/>
    <col min="15" max="15" width="15.42578125" style="1" bestFit="1" customWidth="1"/>
    <col min="16" max="16" width="17.85546875" style="4" bestFit="1" customWidth="1"/>
    <col min="17" max="17" width="17.7109375" style="1" bestFit="1" customWidth="1"/>
    <col min="18" max="18" width="18.28515625" style="1" bestFit="1" customWidth="1"/>
    <col min="19" max="19" width="24.5703125" style="1" bestFit="1" customWidth="1"/>
    <col min="20" max="20" width="29" style="1" bestFit="1" customWidth="1"/>
    <col min="21" max="21" width="11.42578125" bestFit="1" customWidth="1"/>
    <col min="22" max="16384" width="8.85546875" style="1"/>
  </cols>
  <sheetData>
    <row r="1" spans="1:21" ht="20.100000000000001" customHeight="1" x14ac:dyDescent="0.25">
      <c r="A1" s="6" t="s">
        <v>5</v>
      </c>
      <c r="B1" s="6" t="s">
        <v>181</v>
      </c>
      <c r="C1" s="6" t="s">
        <v>182</v>
      </c>
      <c r="D1" s="6" t="s">
        <v>0</v>
      </c>
      <c r="E1" s="6" t="s">
        <v>1</v>
      </c>
      <c r="F1" s="6" t="s">
        <v>6</v>
      </c>
      <c r="G1" s="6" t="s">
        <v>7</v>
      </c>
      <c r="H1" s="6"/>
      <c r="I1" s="6"/>
      <c r="J1" s="6" t="s">
        <v>174</v>
      </c>
      <c r="K1" s="6" t="s">
        <v>175</v>
      </c>
      <c r="L1" s="6" t="s">
        <v>179</v>
      </c>
      <c r="M1" s="6" t="s">
        <v>180</v>
      </c>
      <c r="N1" s="9" t="s">
        <v>2</v>
      </c>
      <c r="O1" s="6" t="s">
        <v>9</v>
      </c>
      <c r="P1" s="7" t="s">
        <v>10</v>
      </c>
      <c r="Q1" s="6" t="s">
        <v>12</v>
      </c>
      <c r="R1" s="6" t="s">
        <v>11</v>
      </c>
      <c r="S1" s="6" t="s">
        <v>3</v>
      </c>
      <c r="T1" s="6" t="s">
        <v>4</v>
      </c>
      <c r="U1" s="8" t="s">
        <v>190</v>
      </c>
    </row>
    <row r="2" spans="1:21" ht="20.100000000000001" customHeight="1" x14ac:dyDescent="0.25">
      <c r="A2" s="24">
        <v>1</v>
      </c>
      <c r="B2" s="24"/>
      <c r="C2" s="24"/>
      <c r="D2" s="24" t="s">
        <v>13</v>
      </c>
      <c r="E2" s="24" t="s">
        <v>14</v>
      </c>
      <c r="F2" s="24"/>
      <c r="G2" s="24" t="s">
        <v>8</v>
      </c>
      <c r="H2" s="24" t="s">
        <v>150</v>
      </c>
      <c r="I2" s="24" t="s">
        <v>151</v>
      </c>
      <c r="J2" s="24"/>
      <c r="K2" s="24"/>
      <c r="L2" s="24"/>
      <c r="M2" s="24"/>
      <c r="N2" s="25" t="s">
        <v>15</v>
      </c>
      <c r="O2" s="24">
        <v>10160</v>
      </c>
      <c r="P2" s="26" t="s">
        <v>16</v>
      </c>
      <c r="Q2" s="24" t="s">
        <v>17</v>
      </c>
      <c r="R2" s="24" t="s">
        <v>18</v>
      </c>
      <c r="S2" s="27">
        <v>45514</v>
      </c>
      <c r="T2" s="24" t="s">
        <v>28</v>
      </c>
      <c r="U2" s="24" t="s">
        <v>191</v>
      </c>
    </row>
    <row r="3" spans="1:21" ht="20.100000000000001" customHeight="1" x14ac:dyDescent="0.25">
      <c r="A3" s="25">
        <v>2</v>
      </c>
      <c r="B3" s="25"/>
      <c r="C3" s="25"/>
      <c r="D3" s="25" t="s">
        <v>18</v>
      </c>
      <c r="E3" s="25" t="s">
        <v>19</v>
      </c>
      <c r="F3" s="25"/>
      <c r="G3" s="25" t="s">
        <v>8</v>
      </c>
      <c r="H3" s="25" t="s">
        <v>150</v>
      </c>
      <c r="I3" s="25" t="s">
        <v>151</v>
      </c>
      <c r="J3" s="25"/>
      <c r="K3" s="25"/>
      <c r="L3" s="25"/>
      <c r="M3" s="25"/>
      <c r="N3" s="25" t="s">
        <v>20</v>
      </c>
      <c r="O3" s="25">
        <v>10160</v>
      </c>
      <c r="P3" s="28">
        <v>9749</v>
      </c>
      <c r="Q3" s="25" t="s">
        <v>21</v>
      </c>
      <c r="R3" s="25" t="s">
        <v>18</v>
      </c>
      <c r="S3" s="29">
        <v>45515</v>
      </c>
      <c r="T3" s="25" t="s">
        <v>28</v>
      </c>
      <c r="U3" s="25" t="s">
        <v>191</v>
      </c>
    </row>
    <row r="4" spans="1:21" ht="20.100000000000001" customHeight="1" x14ac:dyDescent="0.25">
      <c r="A4" s="14">
        <v>3</v>
      </c>
      <c r="B4" s="14"/>
      <c r="C4" s="14"/>
      <c r="D4" s="14" t="s">
        <v>22</v>
      </c>
      <c r="E4" s="14" t="s">
        <v>23</v>
      </c>
      <c r="F4" s="14"/>
      <c r="G4" s="14" t="s">
        <v>8</v>
      </c>
      <c r="H4" s="14" t="s">
        <v>150</v>
      </c>
      <c r="I4" s="14" t="s">
        <v>165</v>
      </c>
      <c r="J4" s="15" t="s">
        <v>155</v>
      </c>
      <c r="K4" s="14">
        <v>90</v>
      </c>
      <c r="L4" s="14" t="s">
        <v>170</v>
      </c>
      <c r="M4" s="14"/>
      <c r="N4" s="14" t="s">
        <v>24</v>
      </c>
      <c r="O4" s="14">
        <v>11455</v>
      </c>
      <c r="P4" s="16">
        <v>10067.68</v>
      </c>
      <c r="Q4" s="14" t="s">
        <v>17</v>
      </c>
      <c r="R4" s="14" t="s">
        <v>26</v>
      </c>
      <c r="S4" s="14"/>
      <c r="T4" s="14" t="s">
        <v>37</v>
      </c>
      <c r="U4" s="14" t="s">
        <v>192</v>
      </c>
    </row>
    <row r="5" spans="1:21" ht="20.100000000000001" customHeight="1" x14ac:dyDescent="0.25">
      <c r="A5" s="25">
        <v>4</v>
      </c>
      <c r="B5" s="25"/>
      <c r="C5" s="25"/>
      <c r="D5" s="25" t="s">
        <v>25</v>
      </c>
      <c r="E5" s="25" t="s">
        <v>26</v>
      </c>
      <c r="F5" s="25"/>
      <c r="G5" s="25" t="s">
        <v>8</v>
      </c>
      <c r="H5" s="25" t="s">
        <v>157</v>
      </c>
      <c r="I5" s="25"/>
      <c r="J5" s="25"/>
      <c r="K5" s="25"/>
      <c r="L5" s="25"/>
      <c r="M5" s="25"/>
      <c r="N5" s="25" t="s">
        <v>27</v>
      </c>
      <c r="O5" s="25">
        <v>8642</v>
      </c>
      <c r="P5" s="28" t="s">
        <v>16</v>
      </c>
      <c r="Q5" s="30">
        <v>45529</v>
      </c>
      <c r="R5" s="30">
        <v>45542</v>
      </c>
      <c r="S5" s="30">
        <v>45531</v>
      </c>
      <c r="T5" s="25" t="s">
        <v>28</v>
      </c>
      <c r="U5" s="25" t="s">
        <v>191</v>
      </c>
    </row>
    <row r="6" spans="1:21" ht="20.100000000000001" customHeight="1" x14ac:dyDescent="0.25">
      <c r="A6" s="14">
        <v>5</v>
      </c>
      <c r="B6" s="14"/>
      <c r="C6" s="14"/>
      <c r="D6" s="14" t="s">
        <v>29</v>
      </c>
      <c r="E6" s="14" t="s">
        <v>23</v>
      </c>
      <c r="F6" s="14"/>
      <c r="G6" s="14" t="s">
        <v>8</v>
      </c>
      <c r="H6" s="14" t="s">
        <v>150</v>
      </c>
      <c r="I6" s="14" t="s">
        <v>165</v>
      </c>
      <c r="J6" s="14" t="s">
        <v>152</v>
      </c>
      <c r="K6" s="14">
        <v>100</v>
      </c>
      <c r="L6" s="14" t="s">
        <v>172</v>
      </c>
      <c r="M6" s="14"/>
      <c r="N6" s="14" t="s">
        <v>30</v>
      </c>
      <c r="O6" s="14">
        <v>12833</v>
      </c>
      <c r="P6" s="16">
        <v>12974.22</v>
      </c>
      <c r="Q6" s="31">
        <v>45520</v>
      </c>
      <c r="R6" s="31">
        <v>45535</v>
      </c>
      <c r="S6" s="31"/>
      <c r="T6" s="14" t="s">
        <v>37</v>
      </c>
      <c r="U6" s="14" t="s">
        <v>192</v>
      </c>
    </row>
    <row r="7" spans="1:21" ht="20.100000000000001" customHeight="1" x14ac:dyDescent="0.25">
      <c r="A7" s="25">
        <v>6</v>
      </c>
      <c r="B7" s="25"/>
      <c r="C7" s="25"/>
      <c r="D7" s="25" t="s">
        <v>31</v>
      </c>
      <c r="E7" s="25"/>
      <c r="F7" s="25"/>
      <c r="G7" s="25" t="s">
        <v>31</v>
      </c>
      <c r="H7" s="25" t="s">
        <v>166</v>
      </c>
      <c r="I7" s="25" t="s">
        <v>164</v>
      </c>
      <c r="J7" s="25"/>
      <c r="K7" s="25"/>
      <c r="L7" s="25"/>
      <c r="M7" s="25"/>
      <c r="N7" s="25" t="s">
        <v>32</v>
      </c>
      <c r="O7" s="25">
        <v>14550</v>
      </c>
      <c r="P7" s="28" t="s">
        <v>16</v>
      </c>
      <c r="Q7" s="30">
        <v>45518</v>
      </c>
      <c r="R7" s="30">
        <v>45538</v>
      </c>
      <c r="S7" s="30">
        <v>45540</v>
      </c>
      <c r="T7" s="25" t="s">
        <v>28</v>
      </c>
      <c r="U7" s="25" t="s">
        <v>191</v>
      </c>
    </row>
    <row r="8" spans="1:21" ht="20.100000000000001" customHeight="1" x14ac:dyDescent="0.25">
      <c r="A8" s="25">
        <v>7</v>
      </c>
      <c r="B8" s="25"/>
      <c r="C8" s="25"/>
      <c r="D8" s="25" t="s">
        <v>33</v>
      </c>
      <c r="E8" s="25" t="s">
        <v>34</v>
      </c>
      <c r="F8" s="25"/>
      <c r="G8" s="25" t="s">
        <v>35</v>
      </c>
      <c r="H8" s="25" t="s">
        <v>166</v>
      </c>
      <c r="I8" s="25" t="s">
        <v>164</v>
      </c>
      <c r="J8" s="25"/>
      <c r="K8" s="25"/>
      <c r="L8" s="25"/>
      <c r="M8" s="25"/>
      <c r="N8" s="25" t="s">
        <v>32</v>
      </c>
      <c r="O8" s="25">
        <v>12000</v>
      </c>
      <c r="P8" s="28">
        <v>12000</v>
      </c>
      <c r="Q8" s="30">
        <v>45521</v>
      </c>
      <c r="R8" s="30">
        <v>45524</v>
      </c>
      <c r="S8" s="30">
        <v>45523</v>
      </c>
      <c r="T8" s="25" t="s">
        <v>36</v>
      </c>
      <c r="U8" s="25" t="s">
        <v>191</v>
      </c>
    </row>
    <row r="9" spans="1:21" ht="20.100000000000001" customHeight="1" x14ac:dyDescent="0.25">
      <c r="A9" s="25">
        <v>8</v>
      </c>
      <c r="B9" s="25"/>
      <c r="C9" s="25"/>
      <c r="D9" s="25" t="s">
        <v>38</v>
      </c>
      <c r="E9" s="25" t="s">
        <v>39</v>
      </c>
      <c r="F9" s="25"/>
      <c r="G9" s="25" t="s">
        <v>8</v>
      </c>
      <c r="H9" s="25" t="s">
        <v>150</v>
      </c>
      <c r="I9" s="25" t="s">
        <v>153</v>
      </c>
      <c r="J9" s="25"/>
      <c r="K9" s="25"/>
      <c r="L9" s="25"/>
      <c r="M9" s="25"/>
      <c r="N9" s="25" t="s">
        <v>40</v>
      </c>
      <c r="O9" s="25">
        <v>7228</v>
      </c>
      <c r="P9" s="28" t="s">
        <v>16</v>
      </c>
      <c r="Q9" s="30">
        <v>45529</v>
      </c>
      <c r="R9" s="30">
        <v>45538</v>
      </c>
      <c r="S9" s="30">
        <v>45545</v>
      </c>
      <c r="T9" s="25" t="s">
        <v>28</v>
      </c>
      <c r="U9" s="25" t="s">
        <v>191</v>
      </c>
    </row>
    <row r="10" spans="1:21" ht="20.100000000000001" customHeight="1" x14ac:dyDescent="0.25">
      <c r="A10" s="25">
        <v>9</v>
      </c>
      <c r="B10" s="25"/>
      <c r="C10" s="25"/>
      <c r="D10" s="25" t="s">
        <v>41</v>
      </c>
      <c r="E10" s="25" t="s">
        <v>42</v>
      </c>
      <c r="F10" s="25"/>
      <c r="G10" s="25" t="s">
        <v>43</v>
      </c>
      <c r="H10" s="25" t="s">
        <v>158</v>
      </c>
      <c r="I10" s="25" t="s">
        <v>160</v>
      </c>
      <c r="J10" s="25"/>
      <c r="K10" s="25"/>
      <c r="L10" s="25"/>
      <c r="M10" s="25"/>
      <c r="N10" s="25" t="s">
        <v>44</v>
      </c>
      <c r="O10" s="25">
        <v>22000</v>
      </c>
      <c r="P10" s="28">
        <v>22000</v>
      </c>
      <c r="Q10" s="30">
        <v>45523</v>
      </c>
      <c r="R10" s="30">
        <v>45536</v>
      </c>
      <c r="S10" s="34">
        <v>45552</v>
      </c>
      <c r="T10" s="25"/>
      <c r="U10" s="25" t="s">
        <v>191</v>
      </c>
    </row>
    <row r="11" spans="1:21" ht="20.100000000000001" customHeight="1" x14ac:dyDescent="0.25">
      <c r="A11" s="11">
        <v>10</v>
      </c>
      <c r="B11" s="11"/>
      <c r="C11" s="11"/>
      <c r="D11" s="11" t="s">
        <v>41</v>
      </c>
      <c r="E11" s="11" t="s">
        <v>42</v>
      </c>
      <c r="F11" s="11"/>
      <c r="G11" s="11" t="s">
        <v>41</v>
      </c>
      <c r="H11" s="11" t="s">
        <v>161</v>
      </c>
      <c r="I11" s="11" t="s">
        <v>159</v>
      </c>
      <c r="J11" s="11"/>
      <c r="K11" s="11"/>
      <c r="L11" s="11"/>
      <c r="M11" s="11"/>
      <c r="N11" s="11" t="s">
        <v>45</v>
      </c>
      <c r="O11" s="11">
        <v>16000</v>
      </c>
      <c r="P11" s="13">
        <v>16000</v>
      </c>
      <c r="Q11" s="17"/>
      <c r="R11" s="17"/>
      <c r="S11" s="17"/>
      <c r="T11" s="11" t="s">
        <v>109</v>
      </c>
      <c r="U11" s="11" t="s">
        <v>193</v>
      </c>
    </row>
    <row r="12" spans="1:21" ht="20.100000000000001" customHeight="1" x14ac:dyDescent="0.25">
      <c r="A12" s="25">
        <v>11</v>
      </c>
      <c r="B12" s="25"/>
      <c r="C12" s="25"/>
      <c r="D12" s="25" t="s">
        <v>41</v>
      </c>
      <c r="E12" s="25" t="s">
        <v>46</v>
      </c>
      <c r="F12" s="25"/>
      <c r="G12" s="25" t="s">
        <v>43</v>
      </c>
      <c r="H12" s="25" t="s">
        <v>161</v>
      </c>
      <c r="I12" s="25" t="s">
        <v>159</v>
      </c>
      <c r="J12" s="25"/>
      <c r="K12" s="25"/>
      <c r="L12" s="25"/>
      <c r="M12" s="25"/>
      <c r="N12" s="25" t="s">
        <v>47</v>
      </c>
      <c r="O12" s="25">
        <v>6000</v>
      </c>
      <c r="P12" s="28">
        <v>12000</v>
      </c>
      <c r="Q12" s="30">
        <v>45529</v>
      </c>
      <c r="R12" s="30">
        <v>45550</v>
      </c>
      <c r="S12" s="34">
        <v>45552</v>
      </c>
      <c r="T12" s="32" t="s">
        <v>199</v>
      </c>
      <c r="U12" s="25" t="s">
        <v>191</v>
      </c>
    </row>
    <row r="13" spans="1:21" ht="20.100000000000001" customHeight="1" x14ac:dyDescent="0.25">
      <c r="A13" s="25">
        <v>12</v>
      </c>
      <c r="B13" s="25"/>
      <c r="C13" s="25"/>
      <c r="D13" s="25" t="s">
        <v>41</v>
      </c>
      <c r="E13" s="25" t="s">
        <v>46</v>
      </c>
      <c r="F13" s="25"/>
      <c r="G13" s="25" t="s">
        <v>43</v>
      </c>
      <c r="H13" s="25" t="s">
        <v>161</v>
      </c>
      <c r="I13" s="25" t="s">
        <v>159</v>
      </c>
      <c r="J13" s="25"/>
      <c r="K13" s="25"/>
      <c r="L13" s="25"/>
      <c r="M13" s="25"/>
      <c r="N13" s="25" t="s">
        <v>47</v>
      </c>
      <c r="O13" s="25">
        <v>6000</v>
      </c>
      <c r="P13" s="28">
        <v>12000</v>
      </c>
      <c r="Q13" s="30">
        <v>45529</v>
      </c>
      <c r="R13" s="30">
        <v>45550</v>
      </c>
      <c r="S13" s="34">
        <v>45552</v>
      </c>
      <c r="T13" s="32" t="s">
        <v>199</v>
      </c>
      <c r="U13" s="25" t="s">
        <v>191</v>
      </c>
    </row>
    <row r="14" spans="1:21" ht="20.100000000000001" customHeight="1" x14ac:dyDescent="0.25">
      <c r="A14" s="25">
        <v>13</v>
      </c>
      <c r="B14" s="25"/>
      <c r="C14" s="25"/>
      <c r="D14" s="25" t="s">
        <v>48</v>
      </c>
      <c r="E14" s="25" t="s">
        <v>49</v>
      </c>
      <c r="F14" s="25"/>
      <c r="G14" s="25" t="s">
        <v>8</v>
      </c>
      <c r="H14" s="25" t="s">
        <v>150</v>
      </c>
      <c r="I14" s="25" t="s">
        <v>165</v>
      </c>
      <c r="J14" s="25" t="s">
        <v>152</v>
      </c>
      <c r="K14" s="25">
        <v>80</v>
      </c>
      <c r="L14" s="25" t="s">
        <v>167</v>
      </c>
      <c r="M14" s="25"/>
      <c r="N14" s="25" t="s">
        <v>50</v>
      </c>
      <c r="O14" s="25">
        <v>10499</v>
      </c>
      <c r="P14" s="28">
        <v>8924</v>
      </c>
      <c r="Q14" s="30">
        <v>45536</v>
      </c>
      <c r="R14" s="30">
        <v>45551</v>
      </c>
      <c r="S14" s="30">
        <v>45543</v>
      </c>
      <c r="T14" s="25" t="s">
        <v>28</v>
      </c>
      <c r="U14" s="25" t="s">
        <v>191</v>
      </c>
    </row>
    <row r="15" spans="1:21" ht="20.100000000000001" customHeight="1" x14ac:dyDescent="0.2">
      <c r="A15" s="12">
        <v>14</v>
      </c>
      <c r="B15" s="18">
        <v>1404561</v>
      </c>
      <c r="C15" s="18">
        <v>1199284</v>
      </c>
      <c r="D15" s="12" t="s">
        <v>65</v>
      </c>
      <c r="E15" s="12" t="s">
        <v>39</v>
      </c>
      <c r="F15" s="12"/>
      <c r="G15" s="12" t="s">
        <v>8</v>
      </c>
      <c r="H15" s="12" t="s">
        <v>150</v>
      </c>
      <c r="I15" s="12" t="s">
        <v>153</v>
      </c>
      <c r="J15" s="12" t="s">
        <v>152</v>
      </c>
      <c r="K15" s="12">
        <v>80</v>
      </c>
      <c r="L15" s="12" t="s">
        <v>167</v>
      </c>
      <c r="M15" s="12"/>
      <c r="N15" s="19" t="s">
        <v>66</v>
      </c>
      <c r="O15" s="12">
        <v>7295</v>
      </c>
      <c r="P15" s="20">
        <v>5895</v>
      </c>
      <c r="Q15" s="21">
        <v>45540</v>
      </c>
      <c r="R15" s="21">
        <v>45549</v>
      </c>
      <c r="S15" s="21"/>
      <c r="T15" s="12"/>
      <c r="U15" s="12" t="s">
        <v>193</v>
      </c>
    </row>
    <row r="16" spans="1:21" ht="20.100000000000001" customHeight="1" x14ac:dyDescent="0.2">
      <c r="A16" s="15">
        <v>15</v>
      </c>
      <c r="B16" s="41">
        <v>1401137</v>
      </c>
      <c r="C16" s="41">
        <v>1197500</v>
      </c>
      <c r="D16" s="15" t="s">
        <v>61</v>
      </c>
      <c r="E16" s="15" t="s">
        <v>62</v>
      </c>
      <c r="F16" s="15"/>
      <c r="G16" s="15" t="s">
        <v>8</v>
      </c>
      <c r="H16" s="15" t="s">
        <v>157</v>
      </c>
      <c r="I16" s="15" t="s">
        <v>187</v>
      </c>
      <c r="J16" s="15"/>
      <c r="K16" s="15"/>
      <c r="L16" s="15"/>
      <c r="M16" s="15"/>
      <c r="N16" s="42" t="s">
        <v>63</v>
      </c>
      <c r="O16" s="15">
        <v>7849</v>
      </c>
      <c r="P16" s="43" t="s">
        <v>16</v>
      </c>
      <c r="Q16" s="44">
        <v>45539</v>
      </c>
      <c r="R16" s="44">
        <v>45551</v>
      </c>
      <c r="S16" s="44">
        <v>45560</v>
      </c>
      <c r="T16" s="15" t="s">
        <v>28</v>
      </c>
      <c r="U16" s="15" t="s">
        <v>208</v>
      </c>
    </row>
    <row r="17" spans="1:21" ht="20.100000000000001" customHeight="1" x14ac:dyDescent="0.25">
      <c r="A17" s="24">
        <v>16</v>
      </c>
      <c r="B17" s="24"/>
      <c r="C17" s="24"/>
      <c r="D17" s="24" t="s">
        <v>54</v>
      </c>
      <c r="E17" s="24" t="s">
        <v>55</v>
      </c>
      <c r="F17" s="24"/>
      <c r="G17" s="24" t="s">
        <v>56</v>
      </c>
      <c r="H17" s="33" t="s">
        <v>150</v>
      </c>
      <c r="I17" s="24" t="s">
        <v>165</v>
      </c>
      <c r="J17" s="25" t="s">
        <v>155</v>
      </c>
      <c r="K17" s="25">
        <v>120</v>
      </c>
      <c r="L17" s="25" t="s">
        <v>168</v>
      </c>
      <c r="M17" s="25"/>
      <c r="N17" s="25" t="s">
        <v>57</v>
      </c>
      <c r="O17" s="25">
        <v>6180</v>
      </c>
      <c r="P17" s="26">
        <v>9700</v>
      </c>
      <c r="Q17" s="34">
        <v>45538</v>
      </c>
      <c r="R17" s="34">
        <v>45551</v>
      </c>
      <c r="S17" s="34">
        <v>45550</v>
      </c>
      <c r="T17" s="32" t="s">
        <v>199</v>
      </c>
      <c r="U17" s="24" t="s">
        <v>191</v>
      </c>
    </row>
    <row r="18" spans="1:21" ht="20.100000000000001" customHeight="1" x14ac:dyDescent="0.25">
      <c r="A18" s="25">
        <v>17</v>
      </c>
      <c r="B18" s="33"/>
      <c r="C18" s="33"/>
      <c r="D18" s="25" t="s">
        <v>54</v>
      </c>
      <c r="E18" s="25" t="s">
        <v>55</v>
      </c>
      <c r="F18" s="25"/>
      <c r="G18" s="25" t="s">
        <v>56</v>
      </c>
      <c r="H18" s="33" t="s">
        <v>150</v>
      </c>
      <c r="I18" s="25" t="s">
        <v>165</v>
      </c>
      <c r="J18" s="32" t="s">
        <v>155</v>
      </c>
      <c r="K18" s="25">
        <v>120</v>
      </c>
      <c r="L18" s="25" t="s">
        <v>168</v>
      </c>
      <c r="M18" s="25"/>
      <c r="N18" s="25" t="s">
        <v>57</v>
      </c>
      <c r="O18" s="25">
        <v>6180</v>
      </c>
      <c r="P18" s="28">
        <v>9700</v>
      </c>
      <c r="Q18" s="30">
        <v>45538</v>
      </c>
      <c r="R18" s="30">
        <v>45551</v>
      </c>
      <c r="S18" s="34">
        <v>45550</v>
      </c>
      <c r="T18" s="32" t="s">
        <v>199</v>
      </c>
      <c r="U18" s="25" t="s">
        <v>191</v>
      </c>
    </row>
    <row r="19" spans="1:21" ht="20.100000000000001" customHeight="1" x14ac:dyDescent="0.2">
      <c r="A19" s="11">
        <v>18</v>
      </c>
      <c r="B19" s="22">
        <v>1400149</v>
      </c>
      <c r="C19" s="22">
        <v>1196947</v>
      </c>
      <c r="D19" s="11" t="s">
        <v>58</v>
      </c>
      <c r="E19" s="11" t="s">
        <v>59</v>
      </c>
      <c r="F19" s="11"/>
      <c r="G19" s="11" t="s">
        <v>8</v>
      </c>
      <c r="H19" s="11" t="s">
        <v>150</v>
      </c>
      <c r="I19" s="11" t="s">
        <v>165</v>
      </c>
      <c r="J19" s="11" t="s">
        <v>154</v>
      </c>
      <c r="K19" s="11">
        <v>80</v>
      </c>
      <c r="L19" s="11" t="s">
        <v>167</v>
      </c>
      <c r="M19" s="11"/>
      <c r="N19" s="11" t="s">
        <v>60</v>
      </c>
      <c r="O19" s="11">
        <v>11199</v>
      </c>
      <c r="P19" s="13">
        <v>11310</v>
      </c>
      <c r="Q19" s="17">
        <v>45539</v>
      </c>
      <c r="R19" s="17">
        <v>45553</v>
      </c>
      <c r="S19" s="17"/>
      <c r="T19" s="11"/>
      <c r="U19" s="11" t="s">
        <v>193</v>
      </c>
    </row>
    <row r="20" spans="1:21" ht="20.100000000000001" customHeight="1" x14ac:dyDescent="0.2">
      <c r="A20" s="32">
        <v>19</v>
      </c>
      <c r="B20" s="35">
        <v>1408099</v>
      </c>
      <c r="C20" s="35">
        <v>1201057</v>
      </c>
      <c r="D20" s="32" t="s">
        <v>33</v>
      </c>
      <c r="E20" s="32" t="s">
        <v>67</v>
      </c>
      <c r="F20" s="32"/>
      <c r="G20" s="32" t="s">
        <v>8</v>
      </c>
      <c r="H20" s="32" t="s">
        <v>150</v>
      </c>
      <c r="I20" s="32" t="s">
        <v>153</v>
      </c>
      <c r="J20" s="32" t="s">
        <v>177</v>
      </c>
      <c r="K20" s="32">
        <v>80</v>
      </c>
      <c r="L20" s="32" t="s">
        <v>167</v>
      </c>
      <c r="M20" s="32"/>
      <c r="N20" s="36" t="s">
        <v>68</v>
      </c>
      <c r="O20" s="32">
        <v>7987</v>
      </c>
      <c r="P20" s="37" t="s">
        <v>16</v>
      </c>
      <c r="Q20" s="38">
        <v>45541</v>
      </c>
      <c r="R20" s="38">
        <v>45551</v>
      </c>
      <c r="S20" s="38">
        <v>45556</v>
      </c>
      <c r="T20" s="32" t="s">
        <v>199</v>
      </c>
      <c r="U20" s="32" t="s">
        <v>198</v>
      </c>
    </row>
    <row r="21" spans="1:21" ht="20.100000000000001" customHeight="1" x14ac:dyDescent="0.25">
      <c r="A21" s="24">
        <v>20</v>
      </c>
      <c r="B21" s="24"/>
      <c r="C21" s="24"/>
      <c r="D21" s="24" t="s">
        <v>43</v>
      </c>
      <c r="E21" s="24" t="s">
        <v>42</v>
      </c>
      <c r="F21" s="24"/>
      <c r="G21" s="24" t="s">
        <v>43</v>
      </c>
      <c r="H21" s="24" t="s">
        <v>162</v>
      </c>
      <c r="I21" s="24" t="s">
        <v>163</v>
      </c>
      <c r="J21" s="24"/>
      <c r="K21" s="24"/>
      <c r="L21" s="24"/>
      <c r="M21" s="24"/>
      <c r="N21" s="25" t="s">
        <v>64</v>
      </c>
      <c r="O21" s="24">
        <v>9300</v>
      </c>
      <c r="P21" s="26">
        <v>9300</v>
      </c>
      <c r="Q21" s="34">
        <v>45539</v>
      </c>
      <c r="R21" s="34">
        <v>45550</v>
      </c>
      <c r="S21" s="34">
        <v>45552</v>
      </c>
      <c r="T21" s="32" t="s">
        <v>199</v>
      </c>
      <c r="U21" s="24" t="s">
        <v>191</v>
      </c>
    </row>
    <row r="22" spans="1:21" ht="20.100000000000001" customHeight="1" x14ac:dyDescent="0.2">
      <c r="A22" s="32">
        <v>21</v>
      </c>
      <c r="B22" s="35">
        <v>1408098</v>
      </c>
      <c r="C22" s="35">
        <v>1201057</v>
      </c>
      <c r="D22" s="32" t="s">
        <v>33</v>
      </c>
      <c r="E22" s="32" t="s">
        <v>67</v>
      </c>
      <c r="F22" s="32"/>
      <c r="G22" s="32" t="s">
        <v>8</v>
      </c>
      <c r="H22" s="32" t="s">
        <v>150</v>
      </c>
      <c r="I22" s="32" t="s">
        <v>153</v>
      </c>
      <c r="J22" s="32" t="s">
        <v>177</v>
      </c>
      <c r="K22" s="32">
        <v>80</v>
      </c>
      <c r="L22" s="32" t="s">
        <v>167</v>
      </c>
      <c r="M22" s="32"/>
      <c r="N22" s="36" t="s">
        <v>68</v>
      </c>
      <c r="O22" s="32">
        <v>7987</v>
      </c>
      <c r="P22" s="37" t="s">
        <v>16</v>
      </c>
      <c r="Q22" s="38">
        <v>45541</v>
      </c>
      <c r="R22" s="38">
        <v>45551</v>
      </c>
      <c r="S22" s="38">
        <v>45556</v>
      </c>
      <c r="T22" s="32" t="s">
        <v>199</v>
      </c>
      <c r="U22" s="32" t="s">
        <v>198</v>
      </c>
    </row>
    <row r="23" spans="1:21" ht="20.100000000000001" customHeight="1" x14ac:dyDescent="0.2">
      <c r="A23" s="32">
        <v>22</v>
      </c>
      <c r="B23" s="35">
        <v>1408100</v>
      </c>
      <c r="C23" s="35">
        <v>1201057</v>
      </c>
      <c r="D23" s="32" t="s">
        <v>33</v>
      </c>
      <c r="E23" s="32" t="s">
        <v>67</v>
      </c>
      <c r="F23" s="32"/>
      <c r="G23" s="32" t="s">
        <v>8</v>
      </c>
      <c r="H23" s="32" t="s">
        <v>150</v>
      </c>
      <c r="I23" s="32" t="s">
        <v>153</v>
      </c>
      <c r="J23" s="32" t="s">
        <v>177</v>
      </c>
      <c r="K23" s="32">
        <v>80</v>
      </c>
      <c r="L23" s="32" t="s">
        <v>167</v>
      </c>
      <c r="M23" s="32"/>
      <c r="N23" s="36" t="s">
        <v>68</v>
      </c>
      <c r="O23" s="32">
        <v>7987</v>
      </c>
      <c r="P23" s="37" t="s">
        <v>16</v>
      </c>
      <c r="Q23" s="38">
        <v>45541</v>
      </c>
      <c r="R23" s="38">
        <v>45551</v>
      </c>
      <c r="S23" s="38">
        <v>45556</v>
      </c>
      <c r="T23" s="32" t="s">
        <v>199</v>
      </c>
      <c r="U23" s="32" t="s">
        <v>198</v>
      </c>
    </row>
    <row r="24" spans="1:21" ht="20.100000000000001" customHeight="1" x14ac:dyDescent="0.2">
      <c r="A24" s="32">
        <v>23</v>
      </c>
      <c r="B24" s="35">
        <v>1408101</v>
      </c>
      <c r="C24" s="35">
        <v>1201057</v>
      </c>
      <c r="D24" s="32" t="s">
        <v>33</v>
      </c>
      <c r="E24" s="32" t="s">
        <v>67</v>
      </c>
      <c r="F24" s="32"/>
      <c r="G24" s="32" t="s">
        <v>8</v>
      </c>
      <c r="H24" s="32" t="s">
        <v>150</v>
      </c>
      <c r="I24" s="32" t="s">
        <v>153</v>
      </c>
      <c r="J24" s="32" t="s">
        <v>177</v>
      </c>
      <c r="K24" s="32">
        <v>80</v>
      </c>
      <c r="L24" s="32" t="s">
        <v>167</v>
      </c>
      <c r="M24" s="32"/>
      <c r="N24" s="36" t="s">
        <v>68</v>
      </c>
      <c r="O24" s="32">
        <v>7987</v>
      </c>
      <c r="P24" s="37" t="s">
        <v>16</v>
      </c>
      <c r="Q24" s="38">
        <v>45541</v>
      </c>
      <c r="R24" s="38">
        <v>45551</v>
      </c>
      <c r="S24" s="38">
        <v>45556</v>
      </c>
      <c r="T24" s="32" t="s">
        <v>199</v>
      </c>
      <c r="U24" s="32" t="s">
        <v>198</v>
      </c>
    </row>
    <row r="25" spans="1:21" ht="20.100000000000001" customHeight="1" x14ac:dyDescent="0.2">
      <c r="A25" s="12">
        <v>24</v>
      </c>
      <c r="B25" s="18">
        <v>1513856</v>
      </c>
      <c r="C25" s="18">
        <v>1231946</v>
      </c>
      <c r="D25" s="39" t="s">
        <v>106</v>
      </c>
      <c r="E25" s="39" t="s">
        <v>107</v>
      </c>
      <c r="F25" s="39"/>
      <c r="G25" s="12" t="s">
        <v>8</v>
      </c>
      <c r="H25" s="12" t="s">
        <v>157</v>
      </c>
      <c r="I25" s="12" t="s">
        <v>187</v>
      </c>
      <c r="J25" s="39"/>
      <c r="K25" s="39"/>
      <c r="L25" s="39"/>
      <c r="M25" s="39"/>
      <c r="N25" s="19" t="s">
        <v>63</v>
      </c>
      <c r="O25" s="39">
        <v>8849</v>
      </c>
      <c r="P25" s="63" t="s">
        <v>16</v>
      </c>
      <c r="Q25" s="40">
        <v>45538</v>
      </c>
      <c r="R25" s="40">
        <v>45581</v>
      </c>
      <c r="S25" s="40"/>
      <c r="T25" s="39"/>
      <c r="U25" s="11" t="s">
        <v>193</v>
      </c>
    </row>
    <row r="26" spans="1:21" ht="20.100000000000001" customHeight="1" x14ac:dyDescent="0.2">
      <c r="A26" s="32">
        <v>25</v>
      </c>
      <c r="B26" s="35">
        <v>1411691</v>
      </c>
      <c r="C26" s="35">
        <v>1202775</v>
      </c>
      <c r="D26" s="32" t="s">
        <v>69</v>
      </c>
      <c r="E26" s="32" t="s">
        <v>39</v>
      </c>
      <c r="F26" s="32"/>
      <c r="G26" s="32" t="s">
        <v>8</v>
      </c>
      <c r="H26" s="32" t="s">
        <v>150</v>
      </c>
      <c r="I26" s="32" t="s">
        <v>153</v>
      </c>
      <c r="J26" s="32" t="s">
        <v>156</v>
      </c>
      <c r="K26" s="32">
        <v>120</v>
      </c>
      <c r="L26" s="32" t="s">
        <v>167</v>
      </c>
      <c r="M26" s="32"/>
      <c r="N26" s="36" t="s">
        <v>70</v>
      </c>
      <c r="O26" s="32">
        <v>10987</v>
      </c>
      <c r="P26" s="37" t="s">
        <v>16</v>
      </c>
      <c r="Q26" s="38">
        <v>45544</v>
      </c>
      <c r="R26" s="38">
        <v>45552</v>
      </c>
      <c r="S26" s="38">
        <v>45556</v>
      </c>
      <c r="T26" s="32" t="s">
        <v>199</v>
      </c>
      <c r="U26" s="32" t="s">
        <v>191</v>
      </c>
    </row>
    <row r="27" spans="1:21" ht="20.100000000000001" customHeight="1" x14ac:dyDescent="0.25">
      <c r="A27" s="32">
        <v>26</v>
      </c>
      <c r="B27" s="32"/>
      <c r="C27" s="32"/>
      <c r="D27" s="32" t="s">
        <v>31</v>
      </c>
      <c r="E27" s="32"/>
      <c r="F27" s="32"/>
      <c r="G27" s="32" t="s">
        <v>31</v>
      </c>
      <c r="H27" s="32" t="s">
        <v>150</v>
      </c>
      <c r="I27" s="32" t="s">
        <v>165</v>
      </c>
      <c r="J27" s="32" t="s">
        <v>154</v>
      </c>
      <c r="K27" s="32">
        <v>100</v>
      </c>
      <c r="L27" s="32" t="s">
        <v>167</v>
      </c>
      <c r="M27" s="32"/>
      <c r="N27" s="36" t="s">
        <v>51</v>
      </c>
      <c r="O27" s="32">
        <v>9208</v>
      </c>
      <c r="P27" s="37">
        <v>5781.75</v>
      </c>
      <c r="Q27" s="38">
        <v>45536</v>
      </c>
      <c r="R27" s="38">
        <v>45554</v>
      </c>
      <c r="S27" s="38">
        <v>45556</v>
      </c>
      <c r="T27" s="32" t="s">
        <v>199</v>
      </c>
      <c r="U27" s="32" t="s">
        <v>198</v>
      </c>
    </row>
    <row r="28" spans="1:21" ht="20.100000000000001" customHeight="1" x14ac:dyDescent="0.25">
      <c r="A28" s="32">
        <v>27</v>
      </c>
      <c r="B28" s="32"/>
      <c r="C28" s="32"/>
      <c r="D28" s="32" t="s">
        <v>31</v>
      </c>
      <c r="E28" s="32"/>
      <c r="F28" s="32"/>
      <c r="G28" s="32" t="s">
        <v>52</v>
      </c>
      <c r="H28" s="32" t="s">
        <v>150</v>
      </c>
      <c r="I28" s="32" t="s">
        <v>165</v>
      </c>
      <c r="J28" s="32" t="s">
        <v>154</v>
      </c>
      <c r="K28" s="32">
        <v>100</v>
      </c>
      <c r="L28" s="32" t="s">
        <v>168</v>
      </c>
      <c r="M28" s="32"/>
      <c r="N28" s="36" t="s">
        <v>53</v>
      </c>
      <c r="O28" s="32">
        <v>9208</v>
      </c>
      <c r="P28" s="37">
        <v>1278.53</v>
      </c>
      <c r="Q28" s="38">
        <v>45536</v>
      </c>
      <c r="R28" s="38">
        <v>45554</v>
      </c>
      <c r="S28" s="38">
        <v>45556</v>
      </c>
      <c r="T28" s="32" t="s">
        <v>199</v>
      </c>
      <c r="U28" s="32" t="s">
        <v>198</v>
      </c>
    </row>
    <row r="29" spans="1:21" ht="20.100000000000001" customHeight="1" x14ac:dyDescent="0.25">
      <c r="A29" s="32">
        <v>28</v>
      </c>
      <c r="B29" s="32"/>
      <c r="C29" s="32"/>
      <c r="D29" s="32" t="s">
        <v>83</v>
      </c>
      <c r="E29" s="32" t="s">
        <v>84</v>
      </c>
      <c r="F29" s="32"/>
      <c r="G29" s="32" t="s">
        <v>56</v>
      </c>
      <c r="H29" s="32" t="s">
        <v>150</v>
      </c>
      <c r="I29" s="32" t="s">
        <v>153</v>
      </c>
      <c r="J29" s="32" t="s">
        <v>177</v>
      </c>
      <c r="K29" s="32">
        <v>120</v>
      </c>
      <c r="L29" s="32" t="s">
        <v>167</v>
      </c>
      <c r="M29" s="32"/>
      <c r="N29" s="23" t="s">
        <v>87</v>
      </c>
      <c r="O29" s="32">
        <v>4020</v>
      </c>
      <c r="P29" s="37" t="s">
        <v>85</v>
      </c>
      <c r="Q29" s="38">
        <v>45547</v>
      </c>
      <c r="R29" s="38">
        <v>45556</v>
      </c>
      <c r="S29" s="38">
        <v>45557</v>
      </c>
      <c r="T29" s="32" t="s">
        <v>199</v>
      </c>
      <c r="U29" s="32" t="s">
        <v>191</v>
      </c>
    </row>
    <row r="30" spans="1:21" ht="20.100000000000001" customHeight="1" x14ac:dyDescent="0.25">
      <c r="A30" s="32">
        <v>29</v>
      </c>
      <c r="B30" s="32"/>
      <c r="C30" s="32"/>
      <c r="D30" s="32" t="s">
        <v>83</v>
      </c>
      <c r="E30" s="32" t="s">
        <v>84</v>
      </c>
      <c r="F30" s="32"/>
      <c r="G30" s="32" t="s">
        <v>56</v>
      </c>
      <c r="H30" s="32" t="s">
        <v>150</v>
      </c>
      <c r="I30" s="32" t="s">
        <v>153</v>
      </c>
      <c r="J30" s="32" t="s">
        <v>177</v>
      </c>
      <c r="K30" s="32">
        <v>120</v>
      </c>
      <c r="L30" s="32" t="s">
        <v>167</v>
      </c>
      <c r="M30" s="32"/>
      <c r="N30" s="23" t="s">
        <v>87</v>
      </c>
      <c r="O30" s="32">
        <v>4020</v>
      </c>
      <c r="P30" s="37" t="s">
        <v>85</v>
      </c>
      <c r="Q30" s="38">
        <v>45547</v>
      </c>
      <c r="R30" s="38">
        <v>45556</v>
      </c>
      <c r="S30" s="38">
        <v>45557</v>
      </c>
      <c r="T30" s="32" t="s">
        <v>199</v>
      </c>
      <c r="U30" s="32" t="s">
        <v>191</v>
      </c>
    </row>
    <row r="31" spans="1:21" ht="20.100000000000001" customHeight="1" x14ac:dyDescent="0.25">
      <c r="A31" s="32">
        <v>30</v>
      </c>
      <c r="B31" s="32"/>
      <c r="C31" s="32"/>
      <c r="D31" s="32" t="s">
        <v>83</v>
      </c>
      <c r="E31" s="32" t="s">
        <v>84</v>
      </c>
      <c r="F31" s="32"/>
      <c r="G31" s="32" t="s">
        <v>56</v>
      </c>
      <c r="H31" s="32" t="s">
        <v>150</v>
      </c>
      <c r="I31" s="32" t="s">
        <v>153</v>
      </c>
      <c r="J31" s="32" t="s">
        <v>169</v>
      </c>
      <c r="K31" s="32">
        <v>120</v>
      </c>
      <c r="L31" s="32" t="s">
        <v>168</v>
      </c>
      <c r="M31" s="32"/>
      <c r="N31" s="23" t="s">
        <v>86</v>
      </c>
      <c r="O31" s="32">
        <v>4020</v>
      </c>
      <c r="P31" s="37" t="s">
        <v>115</v>
      </c>
      <c r="Q31" s="38">
        <v>45547</v>
      </c>
      <c r="R31" s="38">
        <v>45556</v>
      </c>
      <c r="S31" s="38">
        <v>45557</v>
      </c>
      <c r="T31" s="32" t="s">
        <v>199</v>
      </c>
      <c r="U31" s="32" t="s">
        <v>191</v>
      </c>
    </row>
    <row r="32" spans="1:21" ht="20.100000000000001" customHeight="1" x14ac:dyDescent="0.25">
      <c r="A32" s="32">
        <v>31</v>
      </c>
      <c r="B32" s="32"/>
      <c r="C32" s="32"/>
      <c r="D32" s="32" t="s">
        <v>83</v>
      </c>
      <c r="E32" s="32" t="s">
        <v>84</v>
      </c>
      <c r="F32" s="32"/>
      <c r="G32" s="32" t="s">
        <v>56</v>
      </c>
      <c r="H32" s="32" t="s">
        <v>150</v>
      </c>
      <c r="I32" s="32" t="s">
        <v>153</v>
      </c>
      <c r="J32" s="32" t="s">
        <v>169</v>
      </c>
      <c r="K32" s="32">
        <v>120</v>
      </c>
      <c r="L32" s="32" t="s">
        <v>168</v>
      </c>
      <c r="M32" s="32"/>
      <c r="N32" s="23" t="s">
        <v>86</v>
      </c>
      <c r="O32" s="32">
        <v>4020</v>
      </c>
      <c r="P32" s="37" t="s">
        <v>115</v>
      </c>
      <c r="Q32" s="38">
        <v>45547</v>
      </c>
      <c r="R32" s="38">
        <v>45556</v>
      </c>
      <c r="S32" s="38">
        <v>45557</v>
      </c>
      <c r="T32" s="32" t="s">
        <v>199</v>
      </c>
      <c r="U32" s="32" t="s">
        <v>191</v>
      </c>
    </row>
    <row r="33" spans="1:21" ht="20.100000000000001" customHeight="1" x14ac:dyDescent="0.2">
      <c r="A33" s="15">
        <v>32</v>
      </c>
      <c r="B33" s="41">
        <v>1509211</v>
      </c>
      <c r="C33" s="41">
        <v>1230837</v>
      </c>
      <c r="D33" s="15" t="s">
        <v>143</v>
      </c>
      <c r="E33" s="15" t="s">
        <v>144</v>
      </c>
      <c r="F33" s="15"/>
      <c r="G33" s="15" t="s">
        <v>8</v>
      </c>
      <c r="H33" s="15" t="s">
        <v>150</v>
      </c>
      <c r="I33" s="15" t="s">
        <v>151</v>
      </c>
      <c r="J33" s="15"/>
      <c r="K33" s="15"/>
      <c r="L33" s="15" t="s">
        <v>168</v>
      </c>
      <c r="M33" s="15" t="s">
        <v>168</v>
      </c>
      <c r="N33" s="42" t="s">
        <v>145</v>
      </c>
      <c r="O33" s="15">
        <v>9399</v>
      </c>
      <c r="P33" s="37" t="s">
        <v>115</v>
      </c>
      <c r="Q33" s="15" t="s">
        <v>146</v>
      </c>
      <c r="R33" s="44">
        <v>45557</v>
      </c>
      <c r="S33" s="15" t="s">
        <v>192</v>
      </c>
      <c r="T33" s="15" t="s">
        <v>37</v>
      </c>
      <c r="U33" s="15" t="s">
        <v>192</v>
      </c>
    </row>
    <row r="34" spans="1:21" ht="20.100000000000001" customHeight="1" x14ac:dyDescent="0.2">
      <c r="A34" s="32">
        <v>33</v>
      </c>
      <c r="B34" s="35">
        <v>1536687</v>
      </c>
      <c r="C34" s="35">
        <v>1237682</v>
      </c>
      <c r="D34" s="32" t="s">
        <v>147</v>
      </c>
      <c r="E34" s="32" t="s">
        <v>148</v>
      </c>
      <c r="F34" s="32"/>
      <c r="G34" s="32" t="s">
        <v>8</v>
      </c>
      <c r="H34" s="32" t="s">
        <v>157</v>
      </c>
      <c r="I34" s="32" t="s">
        <v>189</v>
      </c>
      <c r="J34" s="32"/>
      <c r="K34" s="32"/>
      <c r="L34" s="32"/>
      <c r="M34" s="32"/>
      <c r="N34" s="36" t="s">
        <v>149</v>
      </c>
      <c r="O34" s="32">
        <v>8349</v>
      </c>
      <c r="P34" s="37" t="s">
        <v>115</v>
      </c>
      <c r="Q34" s="38">
        <v>45549</v>
      </c>
      <c r="R34" s="38">
        <v>45557</v>
      </c>
      <c r="S34" s="38">
        <v>45559</v>
      </c>
      <c r="T34" s="25" t="s">
        <v>28</v>
      </c>
      <c r="U34" s="32" t="s">
        <v>191</v>
      </c>
    </row>
    <row r="35" spans="1:21" ht="20.100000000000001" customHeight="1" x14ac:dyDescent="0.2">
      <c r="A35" s="32">
        <v>34</v>
      </c>
      <c r="B35" s="35">
        <v>1520537</v>
      </c>
      <c r="C35" s="35">
        <v>1233624</v>
      </c>
      <c r="D35" s="45" t="s">
        <v>104</v>
      </c>
      <c r="E35" s="45" t="s">
        <v>39</v>
      </c>
      <c r="F35" s="45"/>
      <c r="G35" s="32" t="s">
        <v>8</v>
      </c>
      <c r="H35" s="45" t="s">
        <v>150</v>
      </c>
      <c r="I35" s="45" t="s">
        <v>151</v>
      </c>
      <c r="J35" s="45"/>
      <c r="K35" s="45"/>
      <c r="L35" s="32" t="s">
        <v>168</v>
      </c>
      <c r="M35" s="32" t="s">
        <v>168</v>
      </c>
      <c r="N35" s="46" t="s">
        <v>105</v>
      </c>
      <c r="O35" s="45">
        <v>9399</v>
      </c>
      <c r="P35" s="47" t="s">
        <v>16</v>
      </c>
      <c r="Q35" s="48">
        <v>45548</v>
      </c>
      <c r="R35" s="48">
        <v>45559</v>
      </c>
      <c r="S35" s="48" t="s">
        <v>209</v>
      </c>
      <c r="T35" s="45" t="s">
        <v>28</v>
      </c>
      <c r="U35" s="32" t="s">
        <v>198</v>
      </c>
    </row>
    <row r="36" spans="1:21" ht="20.100000000000001" customHeight="1" x14ac:dyDescent="0.2">
      <c r="A36" s="32">
        <v>35</v>
      </c>
      <c r="B36" s="35">
        <v>1422998</v>
      </c>
      <c r="C36" s="35">
        <v>1207350</v>
      </c>
      <c r="D36" s="32" t="s">
        <v>71</v>
      </c>
      <c r="E36" s="32" t="s">
        <v>72</v>
      </c>
      <c r="F36" s="32"/>
      <c r="G36" s="32" t="s">
        <v>8</v>
      </c>
      <c r="H36" s="32" t="s">
        <v>157</v>
      </c>
      <c r="I36" s="32" t="s">
        <v>187</v>
      </c>
      <c r="J36" s="32"/>
      <c r="K36" s="32"/>
      <c r="L36" s="32"/>
      <c r="M36" s="32"/>
      <c r="N36" s="36" t="s">
        <v>63</v>
      </c>
      <c r="O36" s="32">
        <v>7849</v>
      </c>
      <c r="P36" s="37">
        <v>7928</v>
      </c>
      <c r="Q36" s="38">
        <v>45547</v>
      </c>
      <c r="R36" s="38">
        <v>45561</v>
      </c>
      <c r="S36" s="25" t="s">
        <v>28</v>
      </c>
      <c r="T36" s="25" t="s">
        <v>28</v>
      </c>
      <c r="U36" s="32" t="s">
        <v>194</v>
      </c>
    </row>
    <row r="37" spans="1:21" ht="20.100000000000001" customHeight="1" x14ac:dyDescent="0.25">
      <c r="A37" s="57">
        <v>36</v>
      </c>
      <c r="B37" s="57"/>
      <c r="C37" s="57"/>
      <c r="D37" s="57" t="s">
        <v>79</v>
      </c>
      <c r="E37" s="57" t="s">
        <v>80</v>
      </c>
      <c r="F37" s="57" t="s">
        <v>81</v>
      </c>
      <c r="G37" s="57" t="s">
        <v>35</v>
      </c>
      <c r="H37" s="57" t="s">
        <v>150</v>
      </c>
      <c r="I37" s="57" t="s">
        <v>171</v>
      </c>
      <c r="J37" s="57" t="s">
        <v>155</v>
      </c>
      <c r="K37" s="57">
        <v>100</v>
      </c>
      <c r="L37" s="57" t="s">
        <v>168</v>
      </c>
      <c r="M37" s="57"/>
      <c r="N37" s="58" t="s">
        <v>82</v>
      </c>
      <c r="O37" s="57">
        <v>9450</v>
      </c>
      <c r="P37" s="49">
        <v>9450</v>
      </c>
      <c r="Q37" s="50">
        <v>45547</v>
      </c>
      <c r="R37" s="50">
        <v>45561</v>
      </c>
      <c r="S37" s="50"/>
      <c r="T37" s="57"/>
      <c r="U37" s="57" t="s">
        <v>236</v>
      </c>
    </row>
    <row r="38" spans="1:21" ht="20.100000000000001" customHeight="1" x14ac:dyDescent="0.2">
      <c r="A38" s="32">
        <v>37</v>
      </c>
      <c r="B38" s="35">
        <v>1459790</v>
      </c>
      <c r="C38" s="35">
        <v>1218257</v>
      </c>
      <c r="D38" s="45" t="s">
        <v>95</v>
      </c>
      <c r="E38" s="45" t="s">
        <v>67</v>
      </c>
      <c r="F38" s="45"/>
      <c r="G38" s="32" t="s">
        <v>8</v>
      </c>
      <c r="H38" s="45" t="s">
        <v>150</v>
      </c>
      <c r="I38" s="32" t="s">
        <v>153</v>
      </c>
      <c r="J38" s="32" t="s">
        <v>156</v>
      </c>
      <c r="K38" s="45">
        <v>120</v>
      </c>
      <c r="L38" s="45" t="s">
        <v>168</v>
      </c>
      <c r="M38" s="45"/>
      <c r="N38" s="46" t="s">
        <v>96</v>
      </c>
      <c r="O38" s="45">
        <v>7460</v>
      </c>
      <c r="P38" s="47" t="s">
        <v>16</v>
      </c>
      <c r="Q38" s="48">
        <v>45548</v>
      </c>
      <c r="R38" s="48">
        <v>45561</v>
      </c>
      <c r="S38" s="48">
        <v>45568</v>
      </c>
      <c r="T38" s="32" t="s">
        <v>199</v>
      </c>
      <c r="U38" s="32" t="s">
        <v>198</v>
      </c>
    </row>
    <row r="39" spans="1:21" ht="20.100000000000001" customHeight="1" x14ac:dyDescent="0.2">
      <c r="A39" s="32">
        <v>38</v>
      </c>
      <c r="B39" s="35">
        <v>1455486</v>
      </c>
      <c r="C39" s="35">
        <v>1217163</v>
      </c>
      <c r="D39" s="45" t="s">
        <v>99</v>
      </c>
      <c r="E39" s="32" t="s">
        <v>67</v>
      </c>
      <c r="F39" s="45"/>
      <c r="G39" s="32" t="s">
        <v>8</v>
      </c>
      <c r="H39" s="45" t="s">
        <v>150</v>
      </c>
      <c r="I39" s="32" t="s">
        <v>153</v>
      </c>
      <c r="J39" s="45" t="s">
        <v>178</v>
      </c>
      <c r="K39" s="45">
        <v>140</v>
      </c>
      <c r="L39" s="45" t="s">
        <v>176</v>
      </c>
      <c r="M39" s="45" t="s">
        <v>172</v>
      </c>
      <c r="N39" s="46" t="s">
        <v>100</v>
      </c>
      <c r="O39" s="45">
        <v>9528</v>
      </c>
      <c r="P39" s="47" t="s">
        <v>16</v>
      </c>
      <c r="Q39" s="48">
        <v>45548</v>
      </c>
      <c r="R39" s="48">
        <v>45561</v>
      </c>
      <c r="S39" s="48">
        <v>45568</v>
      </c>
      <c r="T39" s="32" t="s">
        <v>199</v>
      </c>
      <c r="U39" s="32" t="s">
        <v>198</v>
      </c>
    </row>
    <row r="40" spans="1:21" ht="20.100000000000001" customHeight="1" x14ac:dyDescent="0.2">
      <c r="A40" s="32">
        <v>39</v>
      </c>
      <c r="B40" s="35">
        <v>1504407</v>
      </c>
      <c r="C40" s="35">
        <v>1229760</v>
      </c>
      <c r="D40" s="32" t="s">
        <v>141</v>
      </c>
      <c r="E40" s="32" t="s">
        <v>39</v>
      </c>
      <c r="F40" s="32"/>
      <c r="G40" s="32" t="s">
        <v>8</v>
      </c>
      <c r="H40" s="32" t="s">
        <v>150</v>
      </c>
      <c r="I40" s="32" t="s">
        <v>165</v>
      </c>
      <c r="J40" s="32" t="s">
        <v>155</v>
      </c>
      <c r="K40" s="32">
        <v>120</v>
      </c>
      <c r="L40" s="32" t="s">
        <v>172</v>
      </c>
      <c r="M40" s="32"/>
      <c r="N40" s="36" t="s">
        <v>142</v>
      </c>
      <c r="O40" s="32">
        <v>12999</v>
      </c>
      <c r="P40" s="37" t="s">
        <v>16</v>
      </c>
      <c r="Q40" s="38">
        <v>45549</v>
      </c>
      <c r="R40" s="38">
        <v>45562</v>
      </c>
      <c r="S40" s="38">
        <v>45567</v>
      </c>
      <c r="T40" s="32" t="s">
        <v>199</v>
      </c>
      <c r="U40" s="32" t="s">
        <v>198</v>
      </c>
    </row>
    <row r="41" spans="1:21" ht="20.100000000000001" customHeight="1" x14ac:dyDescent="0.2">
      <c r="A41" s="12">
        <v>40</v>
      </c>
      <c r="B41" s="18">
        <v>1423361</v>
      </c>
      <c r="C41" s="18">
        <v>1207484</v>
      </c>
      <c r="D41" s="12" t="s">
        <v>73</v>
      </c>
      <c r="E41" s="12" t="s">
        <v>74</v>
      </c>
      <c r="F41" s="12"/>
      <c r="G41" s="12" t="s">
        <v>8</v>
      </c>
      <c r="H41" s="12" t="s">
        <v>150</v>
      </c>
      <c r="I41" s="12" t="s">
        <v>165</v>
      </c>
      <c r="J41" s="12" t="s">
        <v>152</v>
      </c>
      <c r="K41" s="12">
        <v>90</v>
      </c>
      <c r="L41" s="12" t="s">
        <v>168</v>
      </c>
      <c r="M41" s="12"/>
      <c r="N41" s="19" t="s">
        <v>77</v>
      </c>
      <c r="O41" s="12">
        <v>5999</v>
      </c>
      <c r="P41" s="20" t="s">
        <v>16</v>
      </c>
      <c r="Q41" s="21">
        <v>45547</v>
      </c>
      <c r="R41" s="21">
        <v>45564</v>
      </c>
      <c r="S41" s="21"/>
      <c r="T41" s="12"/>
      <c r="U41" s="12"/>
    </row>
    <row r="42" spans="1:21" ht="20.100000000000001" customHeight="1" x14ac:dyDescent="0.2">
      <c r="A42" s="32">
        <v>41</v>
      </c>
      <c r="B42" s="35">
        <v>1415725</v>
      </c>
      <c r="C42" s="35">
        <v>1204732</v>
      </c>
      <c r="D42" s="32" t="s">
        <v>75</v>
      </c>
      <c r="E42" s="32" t="s">
        <v>76</v>
      </c>
      <c r="F42" s="32"/>
      <c r="G42" s="32" t="s">
        <v>8</v>
      </c>
      <c r="H42" s="32" t="s">
        <v>150</v>
      </c>
      <c r="I42" s="32" t="s">
        <v>165</v>
      </c>
      <c r="J42" s="32" t="s">
        <v>155</v>
      </c>
      <c r="K42" s="32">
        <v>100</v>
      </c>
      <c r="L42" s="32" t="s">
        <v>168</v>
      </c>
      <c r="M42" s="32"/>
      <c r="N42" s="36" t="s">
        <v>78</v>
      </c>
      <c r="O42" s="32">
        <v>11949</v>
      </c>
      <c r="P42" s="37">
        <v>10749</v>
      </c>
      <c r="Q42" s="38">
        <v>45547</v>
      </c>
      <c r="R42" s="38">
        <v>45564</v>
      </c>
      <c r="S42" s="38">
        <v>45567</v>
      </c>
      <c r="T42" s="32" t="s">
        <v>199</v>
      </c>
      <c r="U42" s="32" t="s">
        <v>198</v>
      </c>
    </row>
    <row r="43" spans="1:21" ht="20.100000000000001" customHeight="1" x14ac:dyDescent="0.2">
      <c r="A43" s="32">
        <v>42</v>
      </c>
      <c r="B43" s="35">
        <v>1415726</v>
      </c>
      <c r="C43" s="35">
        <v>1204732</v>
      </c>
      <c r="D43" s="32" t="s">
        <v>75</v>
      </c>
      <c r="E43" s="32" t="s">
        <v>76</v>
      </c>
      <c r="F43" s="32"/>
      <c r="G43" s="32" t="s">
        <v>8</v>
      </c>
      <c r="H43" s="32" t="s">
        <v>150</v>
      </c>
      <c r="I43" s="32" t="s">
        <v>165</v>
      </c>
      <c r="J43" s="32" t="s">
        <v>155</v>
      </c>
      <c r="K43" s="32">
        <v>100</v>
      </c>
      <c r="L43" s="32" t="s">
        <v>168</v>
      </c>
      <c r="M43" s="32"/>
      <c r="N43" s="36" t="s">
        <v>78</v>
      </c>
      <c r="O43" s="32">
        <v>11949</v>
      </c>
      <c r="P43" s="37">
        <v>10749</v>
      </c>
      <c r="Q43" s="38">
        <v>45547</v>
      </c>
      <c r="R43" s="38">
        <v>45564</v>
      </c>
      <c r="S43" s="38">
        <v>45567</v>
      </c>
      <c r="T43" s="32" t="s">
        <v>199</v>
      </c>
      <c r="U43" s="32" t="s">
        <v>198</v>
      </c>
    </row>
    <row r="44" spans="1:21" ht="20.100000000000001" customHeight="1" x14ac:dyDescent="0.2">
      <c r="A44" s="32">
        <v>43</v>
      </c>
      <c r="B44" s="35">
        <v>1499397</v>
      </c>
      <c r="C44" s="35">
        <v>1228586</v>
      </c>
      <c r="D44" s="45" t="s">
        <v>33</v>
      </c>
      <c r="E44" s="45" t="s">
        <v>88</v>
      </c>
      <c r="F44" s="45"/>
      <c r="G44" s="32" t="s">
        <v>8</v>
      </c>
      <c r="H44" s="45" t="s">
        <v>150</v>
      </c>
      <c r="I44" s="32" t="s">
        <v>171</v>
      </c>
      <c r="J44" s="32" t="s">
        <v>155</v>
      </c>
      <c r="K44" s="45">
        <v>80</v>
      </c>
      <c r="L44" s="45" t="s">
        <v>167</v>
      </c>
      <c r="M44" s="45"/>
      <c r="N44" s="46" t="s">
        <v>91</v>
      </c>
      <c r="O44" s="45">
        <v>16599</v>
      </c>
      <c r="P44" s="47" t="s">
        <v>16</v>
      </c>
      <c r="Q44" s="48">
        <v>45548</v>
      </c>
      <c r="R44" s="48">
        <v>45565</v>
      </c>
      <c r="S44" s="48">
        <v>45568</v>
      </c>
      <c r="T44" s="32" t="s">
        <v>199</v>
      </c>
      <c r="U44" s="32" t="s">
        <v>198</v>
      </c>
    </row>
    <row r="45" spans="1:21" ht="20.100000000000001" customHeight="1" x14ac:dyDescent="0.2">
      <c r="A45" s="32">
        <v>44</v>
      </c>
      <c r="B45" s="35">
        <v>1458696</v>
      </c>
      <c r="C45" s="35">
        <v>1217982</v>
      </c>
      <c r="D45" s="45" t="s">
        <v>89</v>
      </c>
      <c r="E45" s="45" t="s">
        <v>26</v>
      </c>
      <c r="F45" s="45"/>
      <c r="G45" s="32" t="s">
        <v>8</v>
      </c>
      <c r="H45" s="45" t="s">
        <v>150</v>
      </c>
      <c r="I45" s="32" t="s">
        <v>165</v>
      </c>
      <c r="J45" s="32" t="s">
        <v>155</v>
      </c>
      <c r="K45" s="32">
        <v>80</v>
      </c>
      <c r="L45" s="32" t="s">
        <v>167</v>
      </c>
      <c r="M45" s="32"/>
      <c r="N45" s="46" t="s">
        <v>90</v>
      </c>
      <c r="O45" s="45">
        <v>10999</v>
      </c>
      <c r="P45" s="47" t="s">
        <v>16</v>
      </c>
      <c r="Q45" s="48">
        <v>45548</v>
      </c>
      <c r="R45" s="48">
        <v>45565</v>
      </c>
      <c r="S45" s="48">
        <v>45581</v>
      </c>
      <c r="T45" s="45" t="s">
        <v>28</v>
      </c>
      <c r="U45" s="32" t="s">
        <v>198</v>
      </c>
    </row>
    <row r="46" spans="1:21" ht="20.100000000000001" customHeight="1" x14ac:dyDescent="0.2">
      <c r="A46" s="32">
        <v>45</v>
      </c>
      <c r="B46" s="35">
        <v>1480814</v>
      </c>
      <c r="C46" s="35">
        <v>1223964</v>
      </c>
      <c r="D46" s="45" t="s">
        <v>92</v>
      </c>
      <c r="E46" s="45" t="s">
        <v>93</v>
      </c>
      <c r="F46" s="45"/>
      <c r="G46" s="32" t="s">
        <v>8</v>
      </c>
      <c r="H46" s="45" t="s">
        <v>150</v>
      </c>
      <c r="I46" s="32" t="s">
        <v>165</v>
      </c>
      <c r="J46" s="32" t="s">
        <v>155</v>
      </c>
      <c r="K46" s="45">
        <v>140</v>
      </c>
      <c r="L46" s="45" t="s">
        <v>170</v>
      </c>
      <c r="M46" s="45"/>
      <c r="N46" s="46" t="s">
        <v>94</v>
      </c>
      <c r="O46" s="45">
        <v>13099</v>
      </c>
      <c r="P46" s="47" t="s">
        <v>16</v>
      </c>
      <c r="Q46" s="48">
        <v>45548</v>
      </c>
      <c r="R46" s="48">
        <v>45565</v>
      </c>
      <c r="S46" s="48">
        <v>45568</v>
      </c>
      <c r="T46" s="45" t="s">
        <v>28</v>
      </c>
      <c r="U46" s="32" t="s">
        <v>198</v>
      </c>
    </row>
    <row r="47" spans="1:21" ht="20.100000000000001" customHeight="1" x14ac:dyDescent="0.2">
      <c r="A47" s="32">
        <v>46</v>
      </c>
      <c r="B47" s="35">
        <v>1492471</v>
      </c>
      <c r="C47" s="35">
        <v>1227052</v>
      </c>
      <c r="D47" s="45" t="s">
        <v>97</v>
      </c>
      <c r="E47" s="32" t="s">
        <v>39</v>
      </c>
      <c r="F47" s="45"/>
      <c r="G47" s="32" t="s">
        <v>8</v>
      </c>
      <c r="H47" s="45" t="s">
        <v>150</v>
      </c>
      <c r="I47" s="32" t="s">
        <v>165</v>
      </c>
      <c r="J47" s="32" t="s">
        <v>154</v>
      </c>
      <c r="K47" s="32">
        <v>120</v>
      </c>
      <c r="L47" s="32" t="s">
        <v>173</v>
      </c>
      <c r="M47" s="32"/>
      <c r="N47" s="46" t="s">
        <v>98</v>
      </c>
      <c r="O47" s="45">
        <v>13849</v>
      </c>
      <c r="P47" s="47" t="s">
        <v>16</v>
      </c>
      <c r="Q47" s="48">
        <v>45548</v>
      </c>
      <c r="R47" s="48">
        <v>45565</v>
      </c>
      <c r="S47" s="38">
        <v>45585</v>
      </c>
      <c r="T47" s="32" t="s">
        <v>199</v>
      </c>
      <c r="U47" s="32" t="s">
        <v>198</v>
      </c>
    </row>
    <row r="48" spans="1:21" ht="20.100000000000001" customHeight="1" x14ac:dyDescent="0.2">
      <c r="A48" s="45">
        <v>47</v>
      </c>
      <c r="B48" s="51">
        <v>1507912</v>
      </c>
      <c r="C48" s="51">
        <v>1230527</v>
      </c>
      <c r="D48" s="45" t="s">
        <v>101</v>
      </c>
      <c r="E48" s="45" t="s">
        <v>102</v>
      </c>
      <c r="F48" s="45"/>
      <c r="G48" s="45" t="s">
        <v>8</v>
      </c>
      <c r="H48" s="45" t="s">
        <v>161</v>
      </c>
      <c r="I48" s="45" t="s">
        <v>164</v>
      </c>
      <c r="J48" s="45"/>
      <c r="K48" s="45"/>
      <c r="L48" s="45" t="s">
        <v>168</v>
      </c>
      <c r="M48" s="45" t="s">
        <v>172</v>
      </c>
      <c r="N48" s="46" t="s">
        <v>103</v>
      </c>
      <c r="O48" s="45">
        <v>21999</v>
      </c>
      <c r="P48" s="47" t="s">
        <v>16</v>
      </c>
      <c r="Q48" s="48">
        <v>45548</v>
      </c>
      <c r="R48" s="48">
        <v>45565</v>
      </c>
      <c r="S48" s="25" t="s">
        <v>28</v>
      </c>
      <c r="T48" s="32" t="s">
        <v>199</v>
      </c>
      <c r="U48" s="45" t="s">
        <v>198</v>
      </c>
    </row>
    <row r="49" spans="1:21" ht="20.100000000000001" customHeight="1" x14ac:dyDescent="0.2">
      <c r="A49" s="32">
        <v>48</v>
      </c>
      <c r="B49" s="35">
        <v>1525747</v>
      </c>
      <c r="C49" s="35">
        <v>1234936</v>
      </c>
      <c r="D49" s="45" t="s">
        <v>108</v>
      </c>
      <c r="E49" s="45" t="s">
        <v>39</v>
      </c>
      <c r="F49" s="45"/>
      <c r="G49" s="32" t="s">
        <v>8</v>
      </c>
      <c r="H49" s="45" t="s">
        <v>150</v>
      </c>
      <c r="I49" s="32" t="s">
        <v>165</v>
      </c>
      <c r="J49" s="32" t="s">
        <v>155</v>
      </c>
      <c r="K49" s="32">
        <v>80</v>
      </c>
      <c r="L49" s="32" t="s">
        <v>167</v>
      </c>
      <c r="M49" s="32"/>
      <c r="N49" s="46" t="s">
        <v>90</v>
      </c>
      <c r="O49" s="45">
        <v>10999</v>
      </c>
      <c r="P49" s="47" t="s">
        <v>16</v>
      </c>
      <c r="Q49" s="48">
        <v>45548</v>
      </c>
      <c r="R49" s="48">
        <v>45565</v>
      </c>
      <c r="S49" s="48">
        <v>45580</v>
      </c>
      <c r="T49" s="32" t="s">
        <v>199</v>
      </c>
      <c r="U49" s="32" t="s">
        <v>198</v>
      </c>
    </row>
    <row r="50" spans="1:21" ht="20.100000000000001" customHeight="1" x14ac:dyDescent="0.2">
      <c r="A50" s="32">
        <v>49</v>
      </c>
      <c r="B50" s="35">
        <v>1536313</v>
      </c>
      <c r="C50" s="35">
        <v>1237601</v>
      </c>
      <c r="D50" s="45" t="s">
        <v>110</v>
      </c>
      <c r="E50" s="45" t="s">
        <v>107</v>
      </c>
      <c r="F50" s="45"/>
      <c r="G50" s="32" t="s">
        <v>8</v>
      </c>
      <c r="H50" s="45" t="s">
        <v>150</v>
      </c>
      <c r="I50" s="32" t="s">
        <v>171</v>
      </c>
      <c r="J50" s="32" t="s">
        <v>155</v>
      </c>
      <c r="K50" s="45">
        <v>90</v>
      </c>
      <c r="L50" s="45" t="s">
        <v>168</v>
      </c>
      <c r="M50" s="45"/>
      <c r="N50" s="46" t="s">
        <v>111</v>
      </c>
      <c r="O50" s="45">
        <v>17249</v>
      </c>
      <c r="P50" s="47" t="s">
        <v>16</v>
      </c>
      <c r="Q50" s="48">
        <v>45548</v>
      </c>
      <c r="R50" s="48">
        <v>45565</v>
      </c>
      <c r="S50" s="48">
        <v>45569</v>
      </c>
      <c r="T50" s="32" t="s">
        <v>199</v>
      </c>
      <c r="U50" s="32" t="s">
        <v>198</v>
      </c>
    </row>
    <row r="51" spans="1:21" ht="20.100000000000001" customHeight="1" x14ac:dyDescent="0.2">
      <c r="A51" s="32">
        <v>50</v>
      </c>
      <c r="B51" s="35">
        <v>1505609</v>
      </c>
      <c r="C51" s="35">
        <v>1230031</v>
      </c>
      <c r="D51" s="32" t="s">
        <v>138</v>
      </c>
      <c r="E51" s="32" t="s">
        <v>139</v>
      </c>
      <c r="F51" s="32"/>
      <c r="G51" s="32" t="s">
        <v>8</v>
      </c>
      <c r="H51" s="32" t="s">
        <v>157</v>
      </c>
      <c r="I51" s="32" t="s">
        <v>187</v>
      </c>
      <c r="J51" s="32"/>
      <c r="K51" s="32"/>
      <c r="L51" s="32"/>
      <c r="M51" s="32"/>
      <c r="N51" s="36" t="s">
        <v>140</v>
      </c>
      <c r="O51" s="32">
        <v>8349</v>
      </c>
      <c r="P51" s="37" t="s">
        <v>16</v>
      </c>
      <c r="Q51" s="38">
        <v>45549</v>
      </c>
      <c r="R51" s="38">
        <v>45581</v>
      </c>
      <c r="S51" s="38">
        <v>45586</v>
      </c>
      <c r="T51" s="32" t="s">
        <v>199</v>
      </c>
      <c r="U51" s="32" t="s">
        <v>198</v>
      </c>
    </row>
    <row r="52" spans="1:21" ht="20.100000000000001" customHeight="1" x14ac:dyDescent="0.2">
      <c r="A52" s="32">
        <v>51</v>
      </c>
      <c r="B52" s="35">
        <v>1612229</v>
      </c>
      <c r="C52" s="35">
        <v>1254076</v>
      </c>
      <c r="D52" s="32" t="s">
        <v>118</v>
      </c>
      <c r="E52" s="32" t="s">
        <v>62</v>
      </c>
      <c r="F52" s="32"/>
      <c r="G52" s="32" t="s">
        <v>8</v>
      </c>
      <c r="H52" s="32" t="s">
        <v>157</v>
      </c>
      <c r="I52" s="45" t="s">
        <v>188</v>
      </c>
      <c r="J52" s="45"/>
      <c r="K52" s="45"/>
      <c r="L52" s="45"/>
      <c r="M52" s="45"/>
      <c r="N52" s="36" t="s">
        <v>27</v>
      </c>
      <c r="O52" s="45">
        <v>7849</v>
      </c>
      <c r="P52" s="47" t="s">
        <v>16</v>
      </c>
      <c r="Q52" s="48">
        <v>45549</v>
      </c>
      <c r="R52" s="48">
        <v>45594</v>
      </c>
      <c r="S52" s="48">
        <v>45595</v>
      </c>
      <c r="T52" s="32" t="s">
        <v>199</v>
      </c>
      <c r="U52" s="32" t="s">
        <v>198</v>
      </c>
    </row>
    <row r="53" spans="1:21" ht="20.100000000000001" customHeight="1" x14ac:dyDescent="0.2">
      <c r="A53" s="32">
        <v>52</v>
      </c>
      <c r="B53" s="35">
        <v>1673771</v>
      </c>
      <c r="C53" s="35">
        <v>1269559</v>
      </c>
      <c r="D53" s="32" t="s">
        <v>119</v>
      </c>
      <c r="E53" s="45" t="s">
        <v>39</v>
      </c>
      <c r="F53" s="32"/>
      <c r="G53" s="32" t="s">
        <v>8</v>
      </c>
      <c r="H53" s="45" t="s">
        <v>150</v>
      </c>
      <c r="I53" s="45" t="s">
        <v>151</v>
      </c>
      <c r="J53" s="45"/>
      <c r="K53" s="45"/>
      <c r="L53" s="32" t="s">
        <v>168</v>
      </c>
      <c r="M53" s="32" t="s">
        <v>168</v>
      </c>
      <c r="N53" s="46" t="s">
        <v>120</v>
      </c>
      <c r="O53" s="45">
        <v>9399</v>
      </c>
      <c r="P53" s="47" t="s">
        <v>115</v>
      </c>
      <c r="Q53" s="48">
        <v>45549</v>
      </c>
      <c r="R53" s="48">
        <v>45594</v>
      </c>
      <c r="S53" s="48">
        <v>45580</v>
      </c>
      <c r="T53" s="32" t="s">
        <v>199</v>
      </c>
      <c r="U53" s="32" t="s">
        <v>198</v>
      </c>
    </row>
    <row r="54" spans="1:21" ht="20.100000000000001" customHeight="1" x14ac:dyDescent="0.2">
      <c r="A54" s="32">
        <v>53</v>
      </c>
      <c r="B54" s="35">
        <v>1667352</v>
      </c>
      <c r="C54" s="35">
        <v>1267819</v>
      </c>
      <c r="D54" s="32" t="s">
        <v>121</v>
      </c>
      <c r="E54" s="32" t="s">
        <v>122</v>
      </c>
      <c r="F54" s="32"/>
      <c r="G54" s="32" t="s">
        <v>8</v>
      </c>
      <c r="H54" s="45" t="s">
        <v>150</v>
      </c>
      <c r="I54" s="32" t="s">
        <v>153</v>
      </c>
      <c r="J54" s="32" t="s">
        <v>156</v>
      </c>
      <c r="K54" s="45">
        <v>140</v>
      </c>
      <c r="L54" s="45" t="s">
        <v>168</v>
      </c>
      <c r="M54" s="45"/>
      <c r="N54" s="36" t="s">
        <v>123</v>
      </c>
      <c r="O54" s="45">
        <v>11817</v>
      </c>
      <c r="P54" s="47" t="s">
        <v>115</v>
      </c>
      <c r="Q54" s="48">
        <v>45549</v>
      </c>
      <c r="R54" s="48">
        <v>45594</v>
      </c>
      <c r="S54" s="38">
        <v>45580</v>
      </c>
      <c r="T54" s="32" t="s">
        <v>199</v>
      </c>
      <c r="U54" s="32" t="s">
        <v>198</v>
      </c>
    </row>
    <row r="55" spans="1:21" ht="20.100000000000001" customHeight="1" x14ac:dyDescent="0.2">
      <c r="A55" s="32">
        <v>54</v>
      </c>
      <c r="B55" s="35">
        <v>1649781</v>
      </c>
      <c r="C55" s="35">
        <v>1263160</v>
      </c>
      <c r="D55" s="32" t="s">
        <v>124</v>
      </c>
      <c r="E55" s="32" t="s">
        <v>88</v>
      </c>
      <c r="F55" s="32"/>
      <c r="G55" s="32" t="s">
        <v>8</v>
      </c>
      <c r="H55" s="32" t="s">
        <v>157</v>
      </c>
      <c r="I55" s="32" t="s">
        <v>189</v>
      </c>
      <c r="J55" s="45"/>
      <c r="K55" s="45"/>
      <c r="L55" s="45"/>
      <c r="M55" s="45"/>
      <c r="N55" s="36" t="s">
        <v>125</v>
      </c>
      <c r="O55" s="45">
        <v>8349</v>
      </c>
      <c r="P55" s="47" t="s">
        <v>115</v>
      </c>
      <c r="Q55" s="48">
        <v>45549</v>
      </c>
      <c r="R55" s="48">
        <v>45594</v>
      </c>
      <c r="S55" s="38">
        <v>45584</v>
      </c>
      <c r="T55" s="32" t="s">
        <v>199</v>
      </c>
      <c r="U55" s="32" t="s">
        <v>198</v>
      </c>
    </row>
    <row r="56" spans="1:21" ht="20.100000000000001" customHeight="1" x14ac:dyDescent="0.2">
      <c r="A56" s="12">
        <v>55</v>
      </c>
      <c r="B56" s="18">
        <v>1681476</v>
      </c>
      <c r="C56" s="18">
        <v>1271813</v>
      </c>
      <c r="D56" s="12" t="s">
        <v>128</v>
      </c>
      <c r="E56" s="12" t="s">
        <v>129</v>
      </c>
      <c r="F56" s="12"/>
      <c r="G56" s="12" t="s">
        <v>8</v>
      </c>
      <c r="H56" s="39" t="s">
        <v>150</v>
      </c>
      <c r="I56" s="12" t="s">
        <v>153</v>
      </c>
      <c r="J56" s="12" t="s">
        <v>177</v>
      </c>
      <c r="K56" s="39">
        <v>120</v>
      </c>
      <c r="L56" s="39" t="s">
        <v>167</v>
      </c>
      <c r="M56" s="39"/>
      <c r="N56" s="10" t="s">
        <v>130</v>
      </c>
      <c r="O56" s="12">
        <v>17886</v>
      </c>
      <c r="P56" s="20" t="s">
        <v>115</v>
      </c>
      <c r="Q56" s="21">
        <v>45549</v>
      </c>
      <c r="R56" s="40">
        <v>45594</v>
      </c>
      <c r="S56" s="12"/>
      <c r="T56" s="12"/>
      <c r="U56" s="12" t="s">
        <v>193</v>
      </c>
    </row>
    <row r="57" spans="1:21" ht="20.100000000000001" customHeight="1" x14ac:dyDescent="0.2">
      <c r="A57" s="12">
        <v>56</v>
      </c>
      <c r="B57" s="18">
        <v>1681477</v>
      </c>
      <c r="C57" s="18">
        <v>1271813</v>
      </c>
      <c r="D57" s="12" t="s">
        <v>128</v>
      </c>
      <c r="E57" s="12" t="s">
        <v>129</v>
      </c>
      <c r="F57" s="12"/>
      <c r="G57" s="12" t="s">
        <v>8</v>
      </c>
      <c r="H57" s="39" t="s">
        <v>150</v>
      </c>
      <c r="I57" s="12" t="s">
        <v>153</v>
      </c>
      <c r="J57" s="12" t="s">
        <v>177</v>
      </c>
      <c r="K57" s="39">
        <v>120</v>
      </c>
      <c r="L57" s="39" t="s">
        <v>167</v>
      </c>
      <c r="M57" s="39"/>
      <c r="N57" s="10" t="s">
        <v>130</v>
      </c>
      <c r="O57" s="12">
        <v>17886</v>
      </c>
      <c r="P57" s="20" t="s">
        <v>115</v>
      </c>
      <c r="Q57" s="21">
        <v>45549</v>
      </c>
      <c r="R57" s="40">
        <v>45594</v>
      </c>
      <c r="S57" s="12"/>
      <c r="T57" s="12"/>
      <c r="U57" s="12" t="s">
        <v>193</v>
      </c>
    </row>
    <row r="58" spans="1:21" ht="20.100000000000001" customHeight="1" x14ac:dyDescent="0.2">
      <c r="A58" s="32">
        <v>57</v>
      </c>
      <c r="B58" s="35">
        <v>1677530</v>
      </c>
      <c r="C58" s="35">
        <v>1270704</v>
      </c>
      <c r="D58" s="32" t="s">
        <v>131</v>
      </c>
      <c r="E58" s="32" t="s">
        <v>67</v>
      </c>
      <c r="F58" s="32"/>
      <c r="G58" s="32" t="s">
        <v>8</v>
      </c>
      <c r="H58" s="45" t="s">
        <v>150</v>
      </c>
      <c r="I58" s="32" t="s">
        <v>153</v>
      </c>
      <c r="J58" s="32" t="s">
        <v>156</v>
      </c>
      <c r="K58" s="45">
        <v>120</v>
      </c>
      <c r="L58" s="45" t="s">
        <v>167</v>
      </c>
      <c r="M58" s="45"/>
      <c r="N58" s="36" t="s">
        <v>132</v>
      </c>
      <c r="O58" s="45">
        <v>10987</v>
      </c>
      <c r="P58" s="37" t="s">
        <v>16</v>
      </c>
      <c r="Q58" s="38">
        <v>45549</v>
      </c>
      <c r="R58" s="48">
        <v>45594</v>
      </c>
      <c r="S58" s="38">
        <v>45578</v>
      </c>
      <c r="T58" s="32" t="s">
        <v>199</v>
      </c>
      <c r="U58" s="32" t="s">
        <v>198</v>
      </c>
    </row>
    <row r="59" spans="1:21" ht="20.100000000000001" customHeight="1" x14ac:dyDescent="0.2">
      <c r="A59" s="32">
        <v>58</v>
      </c>
      <c r="B59" s="35">
        <v>1677528</v>
      </c>
      <c r="C59" s="35">
        <v>1270704</v>
      </c>
      <c r="D59" s="32" t="s">
        <v>131</v>
      </c>
      <c r="E59" s="32" t="s">
        <v>67</v>
      </c>
      <c r="F59" s="32"/>
      <c r="G59" s="32" t="s">
        <v>8</v>
      </c>
      <c r="H59" s="45" t="s">
        <v>150</v>
      </c>
      <c r="I59" s="32" t="s">
        <v>153</v>
      </c>
      <c r="J59" s="32" t="s">
        <v>156</v>
      </c>
      <c r="K59" s="45">
        <v>120</v>
      </c>
      <c r="L59" s="45" t="s">
        <v>167</v>
      </c>
      <c r="M59" s="45"/>
      <c r="N59" s="36" t="s">
        <v>132</v>
      </c>
      <c r="O59" s="45">
        <v>10987</v>
      </c>
      <c r="P59" s="37" t="s">
        <v>16</v>
      </c>
      <c r="Q59" s="38">
        <v>45549</v>
      </c>
      <c r="R59" s="48">
        <v>45594</v>
      </c>
      <c r="S59" s="38">
        <v>45578</v>
      </c>
      <c r="T59" s="32" t="s">
        <v>199</v>
      </c>
      <c r="U59" s="32" t="s">
        <v>198</v>
      </c>
    </row>
    <row r="60" spans="1:21" ht="20.100000000000001" customHeight="1" x14ac:dyDescent="0.2">
      <c r="A60" s="32">
        <v>59</v>
      </c>
      <c r="B60" s="35">
        <v>1657744</v>
      </c>
      <c r="C60" s="35">
        <v>1265268</v>
      </c>
      <c r="D60" s="32" t="s">
        <v>134</v>
      </c>
      <c r="E60" s="32" t="s">
        <v>135</v>
      </c>
      <c r="F60" s="32"/>
      <c r="G60" s="32" t="s">
        <v>8</v>
      </c>
      <c r="H60" s="32" t="s">
        <v>157</v>
      </c>
      <c r="I60" s="32" t="s">
        <v>187</v>
      </c>
      <c r="J60" s="32"/>
      <c r="K60" s="32"/>
      <c r="L60" s="32"/>
      <c r="M60" s="32"/>
      <c r="N60" s="36" t="s">
        <v>63</v>
      </c>
      <c r="O60" s="32">
        <v>10319</v>
      </c>
      <c r="P60" s="37" t="s">
        <v>16</v>
      </c>
      <c r="Q60" s="38">
        <v>45549</v>
      </c>
      <c r="R60" s="38">
        <v>45594</v>
      </c>
      <c r="S60" s="38">
        <v>45584</v>
      </c>
      <c r="T60" s="32" t="s">
        <v>199</v>
      </c>
      <c r="U60" s="32" t="s">
        <v>198</v>
      </c>
    </row>
    <row r="61" spans="1:21" ht="20.100000000000001" customHeight="1" x14ac:dyDescent="0.2">
      <c r="A61" s="32">
        <v>60</v>
      </c>
      <c r="B61" s="35">
        <v>1610613</v>
      </c>
      <c r="C61" s="35">
        <v>1253646</v>
      </c>
      <c r="D61" s="32" t="s">
        <v>112</v>
      </c>
      <c r="E61" s="32" t="s">
        <v>113</v>
      </c>
      <c r="F61" s="32"/>
      <c r="G61" s="32" t="s">
        <v>8</v>
      </c>
      <c r="H61" s="45" t="s">
        <v>150</v>
      </c>
      <c r="I61" s="32" t="s">
        <v>165</v>
      </c>
      <c r="J61" s="32" t="s">
        <v>155</v>
      </c>
      <c r="K61" s="32">
        <v>120</v>
      </c>
      <c r="L61" s="32" t="s">
        <v>172</v>
      </c>
      <c r="M61" s="32"/>
      <c r="N61" s="36" t="s">
        <v>114</v>
      </c>
      <c r="O61" s="45">
        <v>12999</v>
      </c>
      <c r="P61" s="47" t="s">
        <v>115</v>
      </c>
      <c r="Q61" s="48">
        <v>45549</v>
      </c>
      <c r="R61" s="48">
        <v>45616</v>
      </c>
      <c r="S61" s="48">
        <v>45582</v>
      </c>
      <c r="T61" s="32" t="s">
        <v>28</v>
      </c>
      <c r="U61" s="32" t="s">
        <v>198</v>
      </c>
    </row>
    <row r="62" spans="1:21" ht="20.100000000000001" customHeight="1" x14ac:dyDescent="0.2">
      <c r="A62" s="15">
        <v>61</v>
      </c>
      <c r="B62" s="41">
        <v>1608468</v>
      </c>
      <c r="C62" s="41">
        <v>1253172</v>
      </c>
      <c r="D62" s="15" t="s">
        <v>116</v>
      </c>
      <c r="E62" s="15" t="s">
        <v>117</v>
      </c>
      <c r="F62" s="15"/>
      <c r="G62" s="15" t="s">
        <v>8</v>
      </c>
      <c r="H62" s="15" t="s">
        <v>161</v>
      </c>
      <c r="I62" s="15" t="s">
        <v>164</v>
      </c>
      <c r="J62" s="15"/>
      <c r="K62" s="15"/>
      <c r="L62" s="15" t="s">
        <v>168</v>
      </c>
      <c r="M62" s="15" t="s">
        <v>172</v>
      </c>
      <c r="N62" s="10" t="s">
        <v>103</v>
      </c>
      <c r="O62" s="15">
        <v>21999</v>
      </c>
      <c r="P62" s="49" t="s">
        <v>16</v>
      </c>
      <c r="Q62" s="50">
        <v>45549</v>
      </c>
      <c r="R62" s="44">
        <v>45616</v>
      </c>
      <c r="S62" s="44"/>
      <c r="T62" s="15"/>
      <c r="U62" s="12" t="s">
        <v>193</v>
      </c>
    </row>
    <row r="63" spans="1:21" ht="20.100000000000001" customHeight="1" x14ac:dyDescent="0.2">
      <c r="A63" s="32">
        <v>62</v>
      </c>
      <c r="B63" s="35">
        <v>1654554</v>
      </c>
      <c r="C63" s="35">
        <v>1264469</v>
      </c>
      <c r="D63" s="32" t="s">
        <v>126</v>
      </c>
      <c r="E63" s="32" t="s">
        <v>88</v>
      </c>
      <c r="F63" s="32"/>
      <c r="G63" s="32" t="s">
        <v>8</v>
      </c>
      <c r="H63" s="45" t="s">
        <v>150</v>
      </c>
      <c r="I63" s="32" t="s">
        <v>165</v>
      </c>
      <c r="J63" s="45" t="s">
        <v>152</v>
      </c>
      <c r="K63" s="45">
        <v>100</v>
      </c>
      <c r="L63" s="45" t="s">
        <v>172</v>
      </c>
      <c r="M63" s="45"/>
      <c r="N63" s="10" t="s">
        <v>127</v>
      </c>
      <c r="O63" s="45">
        <v>12399</v>
      </c>
      <c r="P63" s="37" t="s">
        <v>16</v>
      </c>
      <c r="Q63" s="48">
        <v>45549</v>
      </c>
      <c r="R63" s="48">
        <v>45616</v>
      </c>
      <c r="S63" s="38">
        <v>45566</v>
      </c>
      <c r="T63" s="45" t="s">
        <v>28</v>
      </c>
      <c r="U63" s="32" t="s">
        <v>198</v>
      </c>
    </row>
    <row r="64" spans="1:21" ht="20.100000000000001" customHeight="1" x14ac:dyDescent="0.2">
      <c r="A64" s="32">
        <v>63</v>
      </c>
      <c r="B64" s="35">
        <v>1644504</v>
      </c>
      <c r="C64" s="35">
        <v>1261644</v>
      </c>
      <c r="D64" s="32" t="s">
        <v>133</v>
      </c>
      <c r="E64" s="32" t="s">
        <v>67</v>
      </c>
      <c r="F64" s="32"/>
      <c r="G64" s="32" t="s">
        <v>8</v>
      </c>
      <c r="H64" s="45" t="s">
        <v>161</v>
      </c>
      <c r="I64" s="45" t="s">
        <v>164</v>
      </c>
      <c r="J64" s="45"/>
      <c r="K64" s="45"/>
      <c r="L64" s="32" t="s">
        <v>168</v>
      </c>
      <c r="M64" s="32" t="s">
        <v>172</v>
      </c>
      <c r="N64" s="36" t="s">
        <v>103</v>
      </c>
      <c r="O64" s="45">
        <v>21999</v>
      </c>
      <c r="P64" s="37" t="s">
        <v>16</v>
      </c>
      <c r="Q64" s="38">
        <v>45549</v>
      </c>
      <c r="R64" s="38">
        <v>45616</v>
      </c>
      <c r="S64" s="38">
        <v>45574</v>
      </c>
      <c r="T64" s="32" t="s">
        <v>199</v>
      </c>
      <c r="U64" s="54" t="s">
        <v>228</v>
      </c>
    </row>
    <row r="65" spans="1:21" ht="20.100000000000001" customHeight="1" x14ac:dyDescent="0.2">
      <c r="A65" s="32">
        <v>64</v>
      </c>
      <c r="B65" s="35">
        <v>1655447</v>
      </c>
      <c r="C65" s="35">
        <v>1264684</v>
      </c>
      <c r="D65" s="32" t="s">
        <v>136</v>
      </c>
      <c r="E65" s="32" t="s">
        <v>62</v>
      </c>
      <c r="F65" s="32"/>
      <c r="G65" s="32" t="s">
        <v>8</v>
      </c>
      <c r="H65" s="32" t="s">
        <v>150</v>
      </c>
      <c r="I65" s="32" t="s">
        <v>165</v>
      </c>
      <c r="J65" s="32" t="s">
        <v>152</v>
      </c>
      <c r="K65" s="32">
        <v>80</v>
      </c>
      <c r="L65" s="32" t="s">
        <v>167</v>
      </c>
      <c r="M65" s="32"/>
      <c r="N65" s="36" t="s">
        <v>137</v>
      </c>
      <c r="O65" s="32">
        <v>10999</v>
      </c>
      <c r="P65" s="37" t="s">
        <v>115</v>
      </c>
      <c r="Q65" s="38">
        <v>45549</v>
      </c>
      <c r="R65" s="38">
        <v>45616</v>
      </c>
      <c r="S65" s="38">
        <v>45581</v>
      </c>
      <c r="T65" s="32" t="s">
        <v>199</v>
      </c>
      <c r="U65" s="54" t="s">
        <v>228</v>
      </c>
    </row>
    <row r="66" spans="1:21" ht="20.100000000000001" customHeight="1" x14ac:dyDescent="0.2">
      <c r="A66" s="32">
        <v>65</v>
      </c>
      <c r="B66" s="35">
        <v>1679731</v>
      </c>
      <c r="C66" s="35">
        <v>1271291</v>
      </c>
      <c r="D66" s="56" t="s">
        <v>183</v>
      </c>
      <c r="E66" s="56" t="s">
        <v>184</v>
      </c>
      <c r="F66" s="32"/>
      <c r="G66" s="32" t="s">
        <v>8</v>
      </c>
      <c r="H66" s="32" t="s">
        <v>150</v>
      </c>
      <c r="I66" s="32" t="s">
        <v>165</v>
      </c>
      <c r="J66" s="32" t="s">
        <v>155</v>
      </c>
      <c r="K66" s="32">
        <v>80</v>
      </c>
      <c r="L66" s="32" t="s">
        <v>167</v>
      </c>
      <c r="M66" s="32"/>
      <c r="N66" s="36"/>
      <c r="O66" s="32">
        <v>10999</v>
      </c>
      <c r="P66" s="37" t="s">
        <v>115</v>
      </c>
      <c r="Q66" s="32" t="s">
        <v>195</v>
      </c>
      <c r="R66" s="38">
        <v>45616</v>
      </c>
      <c r="S66" s="38">
        <v>45581</v>
      </c>
      <c r="T66" s="32" t="s">
        <v>199</v>
      </c>
      <c r="U66" s="54" t="s">
        <v>228</v>
      </c>
    </row>
    <row r="67" spans="1:21" ht="20.100000000000001" customHeight="1" x14ac:dyDescent="0.2">
      <c r="A67" s="32">
        <v>66</v>
      </c>
      <c r="B67" s="35">
        <v>1679739</v>
      </c>
      <c r="C67" s="35">
        <v>1271291</v>
      </c>
      <c r="D67" s="56" t="s">
        <v>183</v>
      </c>
      <c r="E67" s="56" t="s">
        <v>184</v>
      </c>
      <c r="F67" s="32"/>
      <c r="G67" s="32" t="s">
        <v>8</v>
      </c>
      <c r="H67" s="32" t="s">
        <v>150</v>
      </c>
      <c r="I67" s="32" t="s">
        <v>165</v>
      </c>
      <c r="J67" s="32" t="s">
        <v>155</v>
      </c>
      <c r="K67" s="32">
        <v>80</v>
      </c>
      <c r="L67" s="32" t="s">
        <v>167</v>
      </c>
      <c r="M67" s="32"/>
      <c r="N67" s="36"/>
      <c r="O67" s="32">
        <v>10999</v>
      </c>
      <c r="P67" s="37" t="s">
        <v>115</v>
      </c>
      <c r="Q67" s="32" t="s">
        <v>195</v>
      </c>
      <c r="R67" s="38">
        <v>45616</v>
      </c>
      <c r="S67" s="38">
        <v>45581</v>
      </c>
      <c r="T67" s="32" t="s">
        <v>199</v>
      </c>
      <c r="U67" s="54" t="s">
        <v>228</v>
      </c>
    </row>
    <row r="68" spans="1:21" ht="20.100000000000001" customHeight="1" x14ac:dyDescent="0.2">
      <c r="A68" s="32">
        <v>67</v>
      </c>
      <c r="B68" s="35">
        <v>1670668</v>
      </c>
      <c r="C68" s="35">
        <v>1268695</v>
      </c>
      <c r="D68" s="56" t="s">
        <v>185</v>
      </c>
      <c r="E68" s="56" t="s">
        <v>186</v>
      </c>
      <c r="F68" s="32"/>
      <c r="G68" s="32" t="s">
        <v>8</v>
      </c>
      <c r="H68" s="32" t="s">
        <v>161</v>
      </c>
      <c r="I68" s="32" t="s">
        <v>164</v>
      </c>
      <c r="J68" s="32"/>
      <c r="K68" s="32"/>
      <c r="L68" s="32" t="s">
        <v>168</v>
      </c>
      <c r="M68" s="32" t="s">
        <v>172</v>
      </c>
      <c r="N68" s="36"/>
      <c r="O68" s="32">
        <v>21999</v>
      </c>
      <c r="P68" s="37" t="s">
        <v>115</v>
      </c>
      <c r="Q68" s="32" t="s">
        <v>195</v>
      </c>
      <c r="R68" s="38">
        <v>45616</v>
      </c>
      <c r="S68" s="38">
        <v>45584</v>
      </c>
      <c r="T68" s="32" t="s">
        <v>199</v>
      </c>
      <c r="U68" s="32" t="s">
        <v>228</v>
      </c>
    </row>
    <row r="69" spans="1:21" ht="20.100000000000001" customHeight="1" x14ac:dyDescent="0.25">
      <c r="A69" s="24">
        <v>68</v>
      </c>
      <c r="B69" s="33">
        <v>1416625</v>
      </c>
      <c r="C69" s="33">
        <v>1205197</v>
      </c>
      <c r="D69" s="24" t="s">
        <v>196</v>
      </c>
      <c r="E69" s="24" t="s">
        <v>144</v>
      </c>
      <c r="F69" s="24"/>
      <c r="G69" s="32" t="s">
        <v>8</v>
      </c>
      <c r="H69" s="32" t="s">
        <v>157</v>
      </c>
      <c r="I69" s="32" t="s">
        <v>187</v>
      </c>
      <c r="J69" s="24"/>
      <c r="K69" s="24"/>
      <c r="L69" s="24"/>
      <c r="M69" s="24"/>
      <c r="N69" s="25"/>
      <c r="O69" s="24">
        <v>7849</v>
      </c>
      <c r="P69" s="26">
        <v>6306</v>
      </c>
      <c r="Q69" s="32" t="s">
        <v>197</v>
      </c>
      <c r="R69" s="38">
        <v>45595</v>
      </c>
      <c r="S69" s="34">
        <v>45610</v>
      </c>
      <c r="T69" s="32" t="s">
        <v>28</v>
      </c>
      <c r="U69" s="32" t="s">
        <v>198</v>
      </c>
    </row>
    <row r="70" spans="1:21" ht="20.100000000000001" customHeight="1" x14ac:dyDescent="0.25">
      <c r="A70" s="25">
        <v>69</v>
      </c>
      <c r="B70" s="25"/>
      <c r="C70" s="25"/>
      <c r="D70" s="25" t="s">
        <v>83</v>
      </c>
      <c r="E70" s="25" t="s">
        <v>200</v>
      </c>
      <c r="F70" s="25"/>
      <c r="G70" s="25" t="s">
        <v>56</v>
      </c>
      <c r="H70" s="25" t="s">
        <v>150</v>
      </c>
      <c r="I70" s="25" t="s">
        <v>165</v>
      </c>
      <c r="J70" s="25" t="s">
        <v>155</v>
      </c>
      <c r="K70" s="25">
        <v>80</v>
      </c>
      <c r="L70" s="25" t="s">
        <v>167</v>
      </c>
      <c r="M70" s="25"/>
      <c r="N70" s="25"/>
      <c r="O70" s="25">
        <v>5074</v>
      </c>
      <c r="P70" s="28" t="s">
        <v>85</v>
      </c>
      <c r="Q70" s="30">
        <v>45556</v>
      </c>
      <c r="R70" s="30">
        <v>45570</v>
      </c>
      <c r="S70" s="30">
        <v>45577</v>
      </c>
      <c r="T70" s="32" t="s">
        <v>199</v>
      </c>
      <c r="U70" s="54" t="s">
        <v>228</v>
      </c>
    </row>
    <row r="71" spans="1:21" ht="20.100000000000001" customHeight="1" x14ac:dyDescent="0.25">
      <c r="A71" s="25">
        <v>70</v>
      </c>
      <c r="B71" s="25">
        <v>2514</v>
      </c>
      <c r="C71" s="25">
        <v>2514</v>
      </c>
      <c r="D71" s="25" t="s">
        <v>41</v>
      </c>
      <c r="E71" s="25" t="s">
        <v>42</v>
      </c>
      <c r="F71" s="25"/>
      <c r="G71" s="25" t="s">
        <v>43</v>
      </c>
      <c r="H71" s="25" t="s">
        <v>150</v>
      </c>
      <c r="I71" s="25" t="s">
        <v>165</v>
      </c>
      <c r="J71" s="25" t="s">
        <v>154</v>
      </c>
      <c r="K71" s="61">
        <v>100</v>
      </c>
      <c r="L71" s="25" t="s">
        <v>201</v>
      </c>
      <c r="M71" s="25"/>
      <c r="N71" s="25"/>
      <c r="O71" s="25">
        <v>6250</v>
      </c>
      <c r="P71" s="28" t="s">
        <v>85</v>
      </c>
      <c r="Q71" s="30">
        <v>45558</v>
      </c>
      <c r="R71" s="30">
        <v>45573</v>
      </c>
      <c r="S71" s="30">
        <v>45582</v>
      </c>
      <c r="T71" s="32" t="s">
        <v>199</v>
      </c>
      <c r="U71" s="54" t="s">
        <v>228</v>
      </c>
    </row>
    <row r="72" spans="1:21" ht="20.100000000000001" customHeight="1" x14ac:dyDescent="0.25">
      <c r="A72" s="25">
        <v>71</v>
      </c>
      <c r="B72" s="25">
        <v>2514</v>
      </c>
      <c r="C72" s="25">
        <v>2514</v>
      </c>
      <c r="D72" s="25" t="s">
        <v>41</v>
      </c>
      <c r="E72" s="25" t="s">
        <v>42</v>
      </c>
      <c r="F72" s="25"/>
      <c r="G72" s="25" t="s">
        <v>43</v>
      </c>
      <c r="H72" s="25" t="s">
        <v>150</v>
      </c>
      <c r="I72" s="25" t="s">
        <v>165</v>
      </c>
      <c r="J72" s="25" t="s">
        <v>154</v>
      </c>
      <c r="K72" s="61">
        <v>100</v>
      </c>
      <c r="L72" s="25" t="s">
        <v>201</v>
      </c>
      <c r="M72" s="25"/>
      <c r="N72" s="25"/>
      <c r="O72" s="25">
        <v>6250</v>
      </c>
      <c r="P72" s="28" t="s">
        <v>85</v>
      </c>
      <c r="Q72" s="30">
        <v>45558</v>
      </c>
      <c r="R72" s="30">
        <v>45573</v>
      </c>
      <c r="S72" s="30">
        <v>45582</v>
      </c>
      <c r="T72" s="32" t="s">
        <v>199</v>
      </c>
      <c r="U72" s="54" t="s">
        <v>228</v>
      </c>
    </row>
    <row r="73" spans="1:21" ht="20.100000000000001" customHeight="1" x14ac:dyDescent="0.25">
      <c r="A73" s="25">
        <v>72</v>
      </c>
      <c r="B73" s="25">
        <v>1706794</v>
      </c>
      <c r="C73" s="25">
        <v>1281428</v>
      </c>
      <c r="D73" s="25" t="s">
        <v>202</v>
      </c>
      <c r="E73" s="25" t="s">
        <v>42</v>
      </c>
      <c r="F73" s="25"/>
      <c r="G73" s="25" t="s">
        <v>8</v>
      </c>
      <c r="H73" s="25" t="s">
        <v>150</v>
      </c>
      <c r="I73" s="25" t="s">
        <v>153</v>
      </c>
      <c r="J73" s="25" t="s">
        <v>177</v>
      </c>
      <c r="K73" s="25">
        <v>120</v>
      </c>
      <c r="L73" s="25" t="s">
        <v>167</v>
      </c>
      <c r="M73" s="25"/>
      <c r="N73" s="25"/>
      <c r="O73" s="25">
        <v>8943</v>
      </c>
      <c r="P73" s="28">
        <v>9033</v>
      </c>
      <c r="Q73" s="30">
        <v>45561</v>
      </c>
      <c r="R73" s="30">
        <v>45606</v>
      </c>
      <c r="S73" s="30">
        <v>45575</v>
      </c>
      <c r="T73" s="32" t="s">
        <v>199</v>
      </c>
      <c r="U73" s="54" t="s">
        <v>228</v>
      </c>
    </row>
    <row r="74" spans="1:21" ht="20.100000000000001" customHeight="1" x14ac:dyDescent="0.25">
      <c r="A74" s="14">
        <v>73</v>
      </c>
      <c r="B74" s="14">
        <v>1704621</v>
      </c>
      <c r="C74" s="14">
        <v>1280197</v>
      </c>
      <c r="D74" s="14" t="s">
        <v>203</v>
      </c>
      <c r="E74" s="14" t="s">
        <v>204</v>
      </c>
      <c r="F74" s="14"/>
      <c r="G74" s="14" t="s">
        <v>8</v>
      </c>
      <c r="H74" s="14" t="s">
        <v>157</v>
      </c>
      <c r="I74" s="14" t="s">
        <v>189</v>
      </c>
      <c r="J74" s="14"/>
      <c r="K74" s="14"/>
      <c r="L74" s="14"/>
      <c r="M74" s="14"/>
      <c r="N74" s="5"/>
      <c r="O74" s="14">
        <v>8349</v>
      </c>
      <c r="P74" s="16">
        <v>8433</v>
      </c>
      <c r="Q74" s="31">
        <v>45561</v>
      </c>
      <c r="R74" s="31">
        <v>45606</v>
      </c>
      <c r="S74" s="14"/>
      <c r="T74" s="14"/>
      <c r="U74" s="12" t="s">
        <v>193</v>
      </c>
    </row>
    <row r="75" spans="1:21" ht="20.100000000000001" customHeight="1" x14ac:dyDescent="0.25">
      <c r="A75" s="25">
        <v>74</v>
      </c>
      <c r="B75" s="25">
        <v>240078066</v>
      </c>
      <c r="C75" s="25"/>
      <c r="D75" s="25" t="s">
        <v>31</v>
      </c>
      <c r="E75" s="25" t="s">
        <v>230</v>
      </c>
      <c r="F75" s="25"/>
      <c r="G75" s="25" t="s">
        <v>52</v>
      </c>
      <c r="H75" s="25" t="s">
        <v>205</v>
      </c>
      <c r="I75" s="25" t="s">
        <v>206</v>
      </c>
      <c r="J75" s="25"/>
      <c r="K75" s="25"/>
      <c r="L75" s="25"/>
      <c r="M75" s="25" t="s">
        <v>220</v>
      </c>
      <c r="N75" s="25"/>
      <c r="O75" s="25">
        <v>14950</v>
      </c>
      <c r="P75" s="28" t="s">
        <v>16</v>
      </c>
      <c r="Q75" s="30">
        <v>45561</v>
      </c>
      <c r="R75" s="30">
        <v>45579</v>
      </c>
      <c r="S75" s="38">
        <v>45578</v>
      </c>
      <c r="T75" s="32" t="s">
        <v>199</v>
      </c>
      <c r="U75" s="32" t="s">
        <v>198</v>
      </c>
    </row>
    <row r="76" spans="1:21" ht="20.100000000000001" customHeight="1" x14ac:dyDescent="0.2">
      <c r="A76" s="11">
        <v>75</v>
      </c>
      <c r="B76" s="52">
        <v>240077789</v>
      </c>
      <c r="C76" s="11"/>
      <c r="D76" s="11" t="s">
        <v>31</v>
      </c>
      <c r="E76" s="11"/>
      <c r="F76" s="11"/>
      <c r="G76" s="11" t="s">
        <v>52</v>
      </c>
      <c r="H76" s="11" t="s">
        <v>150</v>
      </c>
      <c r="I76" s="11" t="s">
        <v>165</v>
      </c>
      <c r="J76" s="11" t="s">
        <v>154</v>
      </c>
      <c r="K76" s="11">
        <v>100</v>
      </c>
      <c r="L76" s="11" t="s">
        <v>207</v>
      </c>
      <c r="M76" s="11"/>
      <c r="N76" s="11"/>
      <c r="O76" s="11">
        <v>9208</v>
      </c>
      <c r="P76" s="13">
        <v>9608</v>
      </c>
      <c r="Q76" s="17">
        <v>45561</v>
      </c>
      <c r="R76" s="17">
        <v>45579</v>
      </c>
      <c r="S76" s="11"/>
      <c r="T76" s="12"/>
      <c r="U76" s="12" t="s">
        <v>223</v>
      </c>
    </row>
    <row r="77" spans="1:21" ht="20.100000000000001" customHeight="1" x14ac:dyDescent="0.2">
      <c r="A77" s="25">
        <v>76</v>
      </c>
      <c r="B77" s="59">
        <v>240078390</v>
      </c>
      <c r="C77" s="25"/>
      <c r="D77" s="25" t="s">
        <v>31</v>
      </c>
      <c r="E77" s="25"/>
      <c r="F77" s="25"/>
      <c r="G77" s="25" t="s">
        <v>52</v>
      </c>
      <c r="H77" s="25" t="s">
        <v>150</v>
      </c>
      <c r="I77" s="25" t="s">
        <v>153</v>
      </c>
      <c r="J77" s="25" t="s">
        <v>156</v>
      </c>
      <c r="K77" s="25">
        <v>120</v>
      </c>
      <c r="L77" s="25" t="s">
        <v>167</v>
      </c>
      <c r="M77" s="25"/>
      <c r="N77" s="25"/>
      <c r="O77" s="25">
        <v>7433</v>
      </c>
      <c r="P77" s="28" t="s">
        <v>16</v>
      </c>
      <c r="Q77" s="30">
        <v>45564</v>
      </c>
      <c r="R77" s="30">
        <v>45585</v>
      </c>
      <c r="S77" s="38">
        <v>45586</v>
      </c>
      <c r="T77" s="32" t="s">
        <v>199</v>
      </c>
      <c r="U77" s="32" t="s">
        <v>198</v>
      </c>
    </row>
    <row r="78" spans="1:21" ht="20.100000000000001" customHeight="1" x14ac:dyDescent="0.25">
      <c r="A78" s="25">
        <v>77</v>
      </c>
      <c r="B78" s="25"/>
      <c r="C78" s="25"/>
      <c r="D78" s="25" t="s">
        <v>83</v>
      </c>
      <c r="E78" s="25" t="s">
        <v>200</v>
      </c>
      <c r="F78" s="25"/>
      <c r="G78" s="25" t="s">
        <v>56</v>
      </c>
      <c r="H78" s="25" t="s">
        <v>150</v>
      </c>
      <c r="I78" s="25" t="s">
        <v>153</v>
      </c>
      <c r="J78" s="25" t="s">
        <v>177</v>
      </c>
      <c r="K78" s="25">
        <v>120</v>
      </c>
      <c r="L78" s="25" t="s">
        <v>167</v>
      </c>
      <c r="M78" s="25"/>
      <c r="N78" s="25"/>
      <c r="O78" s="25">
        <v>4020</v>
      </c>
      <c r="P78" s="28" t="s">
        <v>85</v>
      </c>
      <c r="Q78" s="30">
        <v>45564</v>
      </c>
      <c r="R78" s="30">
        <v>45577</v>
      </c>
      <c r="S78" s="30">
        <v>45577</v>
      </c>
      <c r="T78" s="32" t="s">
        <v>199</v>
      </c>
      <c r="U78" s="54" t="s">
        <v>228</v>
      </c>
    </row>
    <row r="79" spans="1:21" ht="20.100000000000001" customHeight="1" x14ac:dyDescent="0.25">
      <c r="A79" s="25">
        <v>78</v>
      </c>
      <c r="B79" s="25"/>
      <c r="C79" s="25"/>
      <c r="D79" s="25" t="s">
        <v>210</v>
      </c>
      <c r="E79" s="25" t="s">
        <v>211</v>
      </c>
      <c r="F79" s="25"/>
      <c r="G79" s="25" t="s">
        <v>212</v>
      </c>
      <c r="H79" s="25" t="s">
        <v>150</v>
      </c>
      <c r="I79" s="25" t="s">
        <v>165</v>
      </c>
      <c r="J79" s="25" t="s">
        <v>213</v>
      </c>
      <c r="K79" s="25">
        <v>100</v>
      </c>
      <c r="L79" s="25" t="s">
        <v>214</v>
      </c>
      <c r="M79" s="25"/>
      <c r="N79" s="25"/>
      <c r="O79" s="25">
        <v>8544.9054400000005</v>
      </c>
      <c r="P79" s="28"/>
      <c r="Q79" s="30">
        <v>45566</v>
      </c>
      <c r="R79" s="30">
        <v>45574</v>
      </c>
      <c r="S79" s="30">
        <v>45574</v>
      </c>
      <c r="T79" s="25" t="s">
        <v>227</v>
      </c>
      <c r="U79" s="32" t="s">
        <v>198</v>
      </c>
    </row>
    <row r="80" spans="1:21" ht="20.100000000000001" customHeight="1" x14ac:dyDescent="0.35">
      <c r="A80" s="25">
        <v>79</v>
      </c>
      <c r="B80" s="25"/>
      <c r="C80" s="25"/>
      <c r="D80" s="25" t="s">
        <v>210</v>
      </c>
      <c r="E80" s="25" t="s">
        <v>211</v>
      </c>
      <c r="F80" s="25"/>
      <c r="G80" s="25" t="s">
        <v>212</v>
      </c>
      <c r="H80" s="25" t="s">
        <v>150</v>
      </c>
      <c r="I80" s="25" t="s">
        <v>151</v>
      </c>
      <c r="J80" s="25"/>
      <c r="K80" s="25"/>
      <c r="L80" s="25" t="s">
        <v>217</v>
      </c>
      <c r="M80" s="25" t="s">
        <v>218</v>
      </c>
      <c r="N80" s="25"/>
      <c r="O80" s="53">
        <v>4600</v>
      </c>
      <c r="P80" s="28"/>
      <c r="Q80" s="30">
        <v>45566</v>
      </c>
      <c r="R80" s="30">
        <v>45574</v>
      </c>
      <c r="S80" s="30">
        <v>45574</v>
      </c>
      <c r="T80" s="25" t="s">
        <v>227</v>
      </c>
      <c r="U80" s="32" t="s">
        <v>198</v>
      </c>
    </row>
    <row r="81" spans="1:21" ht="20.100000000000001" customHeight="1" x14ac:dyDescent="0.25">
      <c r="A81" s="25">
        <v>80</v>
      </c>
      <c r="B81" s="25"/>
      <c r="C81" s="25"/>
      <c r="D81" s="25" t="s">
        <v>210</v>
      </c>
      <c r="E81" s="25" t="s">
        <v>211</v>
      </c>
      <c r="F81" s="25"/>
      <c r="G81" s="25" t="s">
        <v>212</v>
      </c>
      <c r="H81" s="25" t="s">
        <v>205</v>
      </c>
      <c r="I81" s="25" t="s">
        <v>215</v>
      </c>
      <c r="J81" s="25"/>
      <c r="K81" s="25"/>
      <c r="L81" s="25" t="s">
        <v>168</v>
      </c>
      <c r="M81" s="25" t="s">
        <v>216</v>
      </c>
      <c r="N81" s="25"/>
      <c r="O81" s="25">
        <v>10000</v>
      </c>
      <c r="P81" s="28"/>
      <c r="Q81" s="30">
        <v>45566</v>
      </c>
      <c r="R81" s="30">
        <v>45574</v>
      </c>
      <c r="S81" s="30">
        <v>45574</v>
      </c>
      <c r="T81" s="25" t="s">
        <v>227</v>
      </c>
      <c r="U81" s="32" t="s">
        <v>198</v>
      </c>
    </row>
    <row r="82" spans="1:21" ht="20.100000000000001" customHeight="1" x14ac:dyDescent="0.25">
      <c r="A82" s="25">
        <v>81</v>
      </c>
      <c r="B82" s="25"/>
      <c r="C82" s="25"/>
      <c r="D82" s="25" t="s">
        <v>210</v>
      </c>
      <c r="E82" s="25" t="s">
        <v>211</v>
      </c>
      <c r="F82" s="25"/>
      <c r="G82" s="25" t="s">
        <v>212</v>
      </c>
      <c r="H82" s="25" t="s">
        <v>219</v>
      </c>
      <c r="I82" s="25"/>
      <c r="J82" s="25"/>
      <c r="K82" s="25"/>
      <c r="L82" s="25" t="s">
        <v>168</v>
      </c>
      <c r="M82" s="25" t="s">
        <v>220</v>
      </c>
      <c r="N82" s="25"/>
      <c r="O82" s="25"/>
      <c r="P82" s="28"/>
      <c r="Q82" s="30">
        <v>45566</v>
      </c>
      <c r="R82" s="30">
        <v>45574</v>
      </c>
      <c r="S82" s="30">
        <v>45574</v>
      </c>
      <c r="T82" s="25" t="s">
        <v>227</v>
      </c>
      <c r="U82" s="32" t="s">
        <v>198</v>
      </c>
    </row>
    <row r="83" spans="1:21" ht="20.100000000000001" customHeight="1" x14ac:dyDescent="0.25">
      <c r="A83" s="11">
        <v>82</v>
      </c>
      <c r="B83" s="11">
        <v>1282228</v>
      </c>
      <c r="C83" s="11">
        <v>1708226</v>
      </c>
      <c r="D83" s="11" t="s">
        <v>221</v>
      </c>
      <c r="E83" s="11" t="s">
        <v>222</v>
      </c>
      <c r="F83" s="11"/>
      <c r="G83" s="11" t="s">
        <v>8</v>
      </c>
      <c r="H83" s="11" t="s">
        <v>150</v>
      </c>
      <c r="I83" s="11" t="s">
        <v>151</v>
      </c>
      <c r="J83" s="11"/>
      <c r="K83" s="11"/>
      <c r="L83" s="11" t="s">
        <v>168</v>
      </c>
      <c r="M83" s="11" t="s">
        <v>168</v>
      </c>
      <c r="N83" s="11"/>
      <c r="O83" s="11">
        <v>8899</v>
      </c>
      <c r="P83" s="13">
        <v>8988</v>
      </c>
      <c r="Q83" s="17">
        <v>45568</v>
      </c>
      <c r="R83" s="17">
        <v>45613</v>
      </c>
      <c r="S83" s="11"/>
      <c r="T83" s="12"/>
      <c r="U83" s="12"/>
    </row>
    <row r="84" spans="1:21" ht="20.100000000000001" customHeight="1" x14ac:dyDescent="0.2">
      <c r="A84" s="25">
        <v>83</v>
      </c>
      <c r="B84" s="55">
        <v>240079328</v>
      </c>
      <c r="C84" s="25"/>
      <c r="D84" s="25" t="s">
        <v>31</v>
      </c>
      <c r="E84" s="25" t="s">
        <v>224</v>
      </c>
      <c r="F84" s="25"/>
      <c r="G84" s="25" t="s">
        <v>31</v>
      </c>
      <c r="H84" s="25" t="s">
        <v>225</v>
      </c>
      <c r="I84" s="25" t="s">
        <v>206</v>
      </c>
      <c r="J84" s="25"/>
      <c r="K84" s="25"/>
      <c r="L84" s="25" t="s">
        <v>207</v>
      </c>
      <c r="M84" s="25" t="s">
        <v>226</v>
      </c>
      <c r="N84" s="25"/>
      <c r="O84" s="25">
        <v>14550</v>
      </c>
      <c r="P84" s="28" t="s">
        <v>16</v>
      </c>
      <c r="Q84" s="30">
        <v>45573</v>
      </c>
      <c r="R84" s="30">
        <v>45594</v>
      </c>
      <c r="S84" s="48">
        <v>45595</v>
      </c>
      <c r="T84" s="32" t="s">
        <v>199</v>
      </c>
      <c r="U84" s="32" t="s">
        <v>198</v>
      </c>
    </row>
    <row r="85" spans="1:21" ht="20.100000000000001" customHeight="1" x14ac:dyDescent="0.2">
      <c r="A85" s="25">
        <v>84</v>
      </c>
      <c r="B85" s="55">
        <v>240078933</v>
      </c>
      <c r="C85" s="25"/>
      <c r="D85" s="25" t="s">
        <v>31</v>
      </c>
      <c r="E85" s="25" t="s">
        <v>229</v>
      </c>
      <c r="F85" s="25"/>
      <c r="G85" s="25" t="s">
        <v>52</v>
      </c>
      <c r="H85" s="25" t="s">
        <v>161</v>
      </c>
      <c r="I85" s="25" t="s">
        <v>206</v>
      </c>
      <c r="J85" s="25"/>
      <c r="K85" s="25"/>
      <c r="L85" s="25" t="s">
        <v>207</v>
      </c>
      <c r="M85" s="25" t="s">
        <v>226</v>
      </c>
      <c r="N85" s="25"/>
      <c r="O85" s="25">
        <v>14550</v>
      </c>
      <c r="P85" s="28" t="s">
        <v>16</v>
      </c>
      <c r="Q85" s="30">
        <v>45572</v>
      </c>
      <c r="R85" s="30">
        <v>45594</v>
      </c>
      <c r="S85" s="38">
        <v>45580</v>
      </c>
      <c r="T85" s="32" t="s">
        <v>199</v>
      </c>
      <c r="U85" s="32" t="s">
        <v>198</v>
      </c>
    </row>
    <row r="86" spans="1:21" ht="20.100000000000001" customHeight="1" x14ac:dyDescent="0.25">
      <c r="A86" s="25">
        <v>85</v>
      </c>
      <c r="B86" s="25">
        <v>240079517</v>
      </c>
      <c r="C86" s="25"/>
      <c r="D86" s="25" t="s">
        <v>31</v>
      </c>
      <c r="E86" s="25"/>
      <c r="F86" s="25"/>
      <c r="G86" s="25" t="s">
        <v>31</v>
      </c>
      <c r="H86" s="25" t="s">
        <v>225</v>
      </c>
      <c r="I86" s="25" t="s">
        <v>206</v>
      </c>
      <c r="J86" s="25"/>
      <c r="K86" s="25"/>
      <c r="L86" s="25" t="s">
        <v>207</v>
      </c>
      <c r="M86" s="25" t="s">
        <v>220</v>
      </c>
      <c r="N86" s="25"/>
      <c r="O86" s="25">
        <v>14550</v>
      </c>
      <c r="P86" s="28">
        <v>11495</v>
      </c>
      <c r="Q86" s="30">
        <v>45575</v>
      </c>
      <c r="R86" s="30">
        <v>45596</v>
      </c>
      <c r="S86" s="30">
        <v>45598</v>
      </c>
      <c r="T86" s="32" t="s">
        <v>199</v>
      </c>
      <c r="U86" s="32" t="s">
        <v>198</v>
      </c>
    </row>
    <row r="87" spans="1:21" ht="20.100000000000001" customHeight="1" x14ac:dyDescent="0.25">
      <c r="A87" s="25">
        <v>86</v>
      </c>
      <c r="B87" s="25">
        <v>1714623</v>
      </c>
      <c r="C87" s="25">
        <v>1284697</v>
      </c>
      <c r="D87" s="25" t="s">
        <v>231</v>
      </c>
      <c r="E87" s="25" t="s">
        <v>102</v>
      </c>
      <c r="F87" s="25"/>
      <c r="G87" s="25" t="s">
        <v>8</v>
      </c>
      <c r="H87" s="25" t="s">
        <v>150</v>
      </c>
      <c r="I87" s="25" t="s">
        <v>165</v>
      </c>
      <c r="J87" s="25" t="s">
        <v>232</v>
      </c>
      <c r="K87" s="25" t="s">
        <v>233</v>
      </c>
      <c r="L87" s="25" t="s">
        <v>234</v>
      </c>
      <c r="M87" s="25"/>
      <c r="N87" s="25"/>
      <c r="O87" s="25">
        <v>12899</v>
      </c>
      <c r="P87" s="28">
        <v>13028</v>
      </c>
      <c r="Q87" s="30">
        <v>45578</v>
      </c>
      <c r="R87" s="30">
        <v>45643</v>
      </c>
      <c r="S87" s="30">
        <v>45598</v>
      </c>
      <c r="T87" s="32" t="s">
        <v>199</v>
      </c>
      <c r="U87" s="32" t="s">
        <v>198</v>
      </c>
    </row>
    <row r="88" spans="1:21" ht="20.100000000000001" customHeight="1" x14ac:dyDescent="0.25">
      <c r="A88" s="25">
        <v>87</v>
      </c>
      <c r="B88" s="60">
        <v>1715473</v>
      </c>
      <c r="C88" s="60">
        <v>1285152</v>
      </c>
      <c r="D88" s="25" t="s">
        <v>235</v>
      </c>
      <c r="E88" s="25" t="s">
        <v>49</v>
      </c>
      <c r="F88" s="25"/>
      <c r="G88" s="25" t="s">
        <v>8</v>
      </c>
      <c r="H88" s="25" t="s">
        <v>150</v>
      </c>
      <c r="I88" s="25" t="s">
        <v>165</v>
      </c>
      <c r="J88" s="25" t="s">
        <v>155</v>
      </c>
      <c r="K88" s="61">
        <v>80</v>
      </c>
      <c r="L88" s="25" t="s">
        <v>167</v>
      </c>
      <c r="M88" s="25"/>
      <c r="N88" s="25"/>
      <c r="O88" s="25">
        <v>10499</v>
      </c>
      <c r="P88" s="28" t="s">
        <v>16</v>
      </c>
      <c r="Q88" s="30">
        <v>45581</v>
      </c>
      <c r="R88" s="30">
        <v>45645</v>
      </c>
      <c r="S88" s="38">
        <v>45586</v>
      </c>
      <c r="T88" s="32" t="s">
        <v>199</v>
      </c>
      <c r="U88" s="32" t="s">
        <v>198</v>
      </c>
    </row>
    <row r="89" spans="1:21" ht="20.100000000000001" customHeight="1" x14ac:dyDescent="0.25">
      <c r="A89" s="25">
        <v>89</v>
      </c>
      <c r="B89" s="25">
        <v>1715992</v>
      </c>
      <c r="C89" s="25">
        <v>1285423</v>
      </c>
      <c r="D89" s="25" t="s">
        <v>237</v>
      </c>
      <c r="E89" s="25" t="s">
        <v>238</v>
      </c>
      <c r="F89" s="25"/>
      <c r="G89" s="25" t="s">
        <v>8</v>
      </c>
      <c r="H89" s="25" t="s">
        <v>150</v>
      </c>
      <c r="I89" s="25" t="s">
        <v>165</v>
      </c>
      <c r="J89" s="25" t="s">
        <v>152</v>
      </c>
      <c r="K89" s="25" t="s">
        <v>239</v>
      </c>
      <c r="L89" s="25" t="s">
        <v>234</v>
      </c>
      <c r="M89" s="25"/>
      <c r="N89" s="25"/>
      <c r="O89" s="25">
        <v>12899</v>
      </c>
      <c r="P89" s="28" t="s">
        <v>16</v>
      </c>
      <c r="Q89" s="30">
        <v>45582</v>
      </c>
      <c r="R89" s="30">
        <v>45648</v>
      </c>
      <c r="S89" s="30">
        <v>45629</v>
      </c>
      <c r="T89" s="32" t="s">
        <v>28</v>
      </c>
      <c r="U89" s="32" t="s">
        <v>228</v>
      </c>
    </row>
    <row r="90" spans="1:21" ht="20.100000000000001" customHeight="1" x14ac:dyDescent="0.25">
      <c r="A90" s="25">
        <v>90</v>
      </c>
      <c r="B90" s="25" t="s">
        <v>241</v>
      </c>
      <c r="C90" s="33"/>
      <c r="D90" s="25" t="s">
        <v>240</v>
      </c>
      <c r="E90" s="25" t="s">
        <v>242</v>
      </c>
      <c r="F90" s="25">
        <v>1211691428</v>
      </c>
      <c r="G90" s="25" t="s">
        <v>243</v>
      </c>
      <c r="H90" s="25" t="s">
        <v>150</v>
      </c>
      <c r="I90" s="25" t="s">
        <v>153</v>
      </c>
      <c r="J90" s="25" t="s">
        <v>244</v>
      </c>
      <c r="K90" s="25">
        <v>140</v>
      </c>
      <c r="L90" s="25" t="s">
        <v>220</v>
      </c>
      <c r="M90" s="25" t="s">
        <v>245</v>
      </c>
      <c r="N90" s="25"/>
      <c r="O90" s="25">
        <v>5135</v>
      </c>
      <c r="P90" s="28" t="s">
        <v>16</v>
      </c>
      <c r="Q90" s="30">
        <v>45585</v>
      </c>
      <c r="R90" s="30">
        <v>45613</v>
      </c>
      <c r="S90" s="30">
        <v>45610</v>
      </c>
      <c r="T90" s="32" t="s">
        <v>199</v>
      </c>
      <c r="U90" s="32" t="s">
        <v>198</v>
      </c>
    </row>
    <row r="91" spans="1:21" ht="20.100000000000001" customHeight="1" x14ac:dyDescent="0.25">
      <c r="A91" s="25">
        <v>91</v>
      </c>
      <c r="B91" s="25">
        <v>240080607</v>
      </c>
      <c r="C91" s="25"/>
      <c r="D91" s="25" t="s">
        <v>31</v>
      </c>
      <c r="E91" s="25" t="s">
        <v>204</v>
      </c>
      <c r="F91" s="25"/>
      <c r="G91" s="25" t="s">
        <v>52</v>
      </c>
      <c r="H91" s="25" t="s">
        <v>150</v>
      </c>
      <c r="I91" s="25" t="s">
        <v>165</v>
      </c>
      <c r="J91" s="25" t="s">
        <v>246</v>
      </c>
      <c r="K91" s="25">
        <v>100</v>
      </c>
      <c r="L91" s="25" t="s">
        <v>247</v>
      </c>
      <c r="M91" s="25"/>
      <c r="N91" s="25"/>
      <c r="O91" s="25">
        <v>12777.5</v>
      </c>
      <c r="P91" s="28">
        <v>11277.5</v>
      </c>
      <c r="Q91" s="30">
        <v>45587</v>
      </c>
      <c r="R91" s="30">
        <v>45608</v>
      </c>
      <c r="S91" s="30">
        <v>45614</v>
      </c>
      <c r="T91" s="32" t="s">
        <v>199</v>
      </c>
      <c r="U91" s="32" t="s">
        <v>198</v>
      </c>
    </row>
    <row r="92" spans="1:21" ht="20.100000000000001" customHeight="1" x14ac:dyDescent="0.25">
      <c r="A92" s="25">
        <v>92</v>
      </c>
      <c r="B92" s="25">
        <v>240080607</v>
      </c>
      <c r="C92" s="25"/>
      <c r="D92" s="25" t="s">
        <v>31</v>
      </c>
      <c r="E92" s="25" t="s">
        <v>204</v>
      </c>
      <c r="F92" s="25"/>
      <c r="G92" s="25" t="s">
        <v>52</v>
      </c>
      <c r="H92" s="25" t="s">
        <v>150</v>
      </c>
      <c r="I92" s="25" t="s">
        <v>165</v>
      </c>
      <c r="J92" s="25" t="s">
        <v>246</v>
      </c>
      <c r="K92" s="25">
        <v>100</v>
      </c>
      <c r="L92" s="25" t="s">
        <v>247</v>
      </c>
      <c r="M92" s="25"/>
      <c r="N92" s="25"/>
      <c r="O92" s="25">
        <v>12777.5</v>
      </c>
      <c r="P92" s="28">
        <v>11277.5</v>
      </c>
      <c r="Q92" s="30">
        <v>45587</v>
      </c>
      <c r="R92" s="30">
        <v>45608</v>
      </c>
      <c r="S92" s="30">
        <v>45614</v>
      </c>
      <c r="T92" s="32" t="s">
        <v>199</v>
      </c>
      <c r="U92" s="32" t="s">
        <v>198</v>
      </c>
    </row>
    <row r="93" spans="1:21" ht="20.100000000000001" customHeight="1" x14ac:dyDescent="0.25">
      <c r="A93" s="11">
        <v>93</v>
      </c>
      <c r="B93" s="11"/>
      <c r="C93" s="11"/>
      <c r="D93" s="11" t="s">
        <v>83</v>
      </c>
      <c r="E93" s="11" t="s">
        <v>248</v>
      </c>
      <c r="F93" s="11"/>
      <c r="G93" s="11" t="s">
        <v>56</v>
      </c>
      <c r="H93" s="11" t="s">
        <v>150</v>
      </c>
      <c r="I93" s="11" t="s">
        <v>165</v>
      </c>
      <c r="J93" s="11" t="s">
        <v>246</v>
      </c>
      <c r="K93" s="11">
        <v>100</v>
      </c>
      <c r="L93" s="11" t="s">
        <v>247</v>
      </c>
      <c r="M93" s="11"/>
      <c r="N93" s="11"/>
      <c r="O93" s="11">
        <v>8544.91</v>
      </c>
      <c r="P93" s="13" t="s">
        <v>85</v>
      </c>
      <c r="Q93" s="17">
        <v>45587</v>
      </c>
      <c r="R93" s="11" t="s">
        <v>249</v>
      </c>
      <c r="S93" s="11"/>
      <c r="T93" s="12"/>
      <c r="U93" s="12" t="s">
        <v>274</v>
      </c>
    </row>
    <row r="94" spans="1:21" ht="20.100000000000001" customHeight="1" x14ac:dyDescent="0.25">
      <c r="A94" s="25">
        <v>94</v>
      </c>
      <c r="B94" s="25">
        <v>1717458</v>
      </c>
      <c r="C94" s="25">
        <v>1286189</v>
      </c>
      <c r="D94" s="25" t="s">
        <v>250</v>
      </c>
      <c r="E94" s="25" t="s">
        <v>251</v>
      </c>
      <c r="F94" s="25"/>
      <c r="G94" s="25" t="s">
        <v>8</v>
      </c>
      <c r="H94" s="25" t="s">
        <v>150</v>
      </c>
      <c r="I94" s="25" t="s">
        <v>153</v>
      </c>
      <c r="J94" s="25" t="s">
        <v>177</v>
      </c>
      <c r="K94" s="25">
        <v>120</v>
      </c>
      <c r="L94" s="25" t="s">
        <v>167</v>
      </c>
      <c r="M94" s="25"/>
      <c r="N94" s="25"/>
      <c r="O94" s="25">
        <v>8943</v>
      </c>
      <c r="P94" s="28">
        <v>9007.01</v>
      </c>
      <c r="Q94" s="30">
        <v>45586</v>
      </c>
      <c r="R94" s="30">
        <v>45610</v>
      </c>
      <c r="S94" s="30">
        <v>45614</v>
      </c>
      <c r="T94" s="32" t="s">
        <v>199</v>
      </c>
      <c r="U94" s="32" t="s">
        <v>198</v>
      </c>
    </row>
    <row r="95" spans="1:21" ht="20.100000000000001" customHeight="1" x14ac:dyDescent="0.2">
      <c r="A95" s="25">
        <v>95</v>
      </c>
      <c r="B95" s="64">
        <v>240080858</v>
      </c>
      <c r="C95" s="25"/>
      <c r="D95" s="25" t="s">
        <v>31</v>
      </c>
      <c r="E95" s="25"/>
      <c r="F95" s="25"/>
      <c r="G95" s="25" t="s">
        <v>52</v>
      </c>
      <c r="H95" s="25" t="s">
        <v>205</v>
      </c>
      <c r="I95" s="25" t="s">
        <v>206</v>
      </c>
      <c r="J95" s="25"/>
      <c r="K95" s="25"/>
      <c r="L95" s="25" t="s">
        <v>168</v>
      </c>
      <c r="M95" s="25"/>
      <c r="N95" s="25"/>
      <c r="O95" s="25">
        <v>15516</v>
      </c>
      <c r="P95" s="28" t="s">
        <v>16</v>
      </c>
      <c r="Q95" s="30">
        <v>45589</v>
      </c>
      <c r="R95" s="30">
        <v>45610</v>
      </c>
      <c r="S95" s="48">
        <v>45595</v>
      </c>
      <c r="T95" s="32" t="s">
        <v>199</v>
      </c>
      <c r="U95" s="32" t="s">
        <v>198</v>
      </c>
    </row>
    <row r="96" spans="1:21" ht="20.100000000000001" customHeight="1" x14ac:dyDescent="0.2">
      <c r="A96" s="11">
        <v>96</v>
      </c>
      <c r="B96" s="65">
        <v>240081061</v>
      </c>
      <c r="C96" s="11"/>
      <c r="D96" s="11" t="s">
        <v>31</v>
      </c>
      <c r="E96" s="11"/>
      <c r="F96" s="11"/>
      <c r="G96" s="11" t="s">
        <v>52</v>
      </c>
      <c r="H96" s="11" t="s">
        <v>150</v>
      </c>
      <c r="I96" s="11" t="s">
        <v>165</v>
      </c>
      <c r="J96" s="11" t="s">
        <v>154</v>
      </c>
      <c r="K96" s="11">
        <v>100</v>
      </c>
      <c r="L96" s="11" t="s">
        <v>168</v>
      </c>
      <c r="M96" s="11"/>
      <c r="N96" s="11"/>
      <c r="O96" s="11">
        <v>10045</v>
      </c>
      <c r="P96" s="13">
        <v>8879</v>
      </c>
      <c r="Q96" s="17">
        <v>45591</v>
      </c>
      <c r="R96" s="17">
        <v>45612</v>
      </c>
      <c r="S96" s="17"/>
      <c r="T96" s="12"/>
      <c r="U96" s="12" t="s">
        <v>236</v>
      </c>
    </row>
    <row r="97" spans="1:21" ht="20.100000000000001" customHeight="1" x14ac:dyDescent="0.25">
      <c r="A97" s="25">
        <v>97</v>
      </c>
      <c r="B97" s="60">
        <v>1718948</v>
      </c>
      <c r="C97" s="60">
        <v>1286883</v>
      </c>
      <c r="D97" s="25" t="s">
        <v>131</v>
      </c>
      <c r="E97" s="25" t="s">
        <v>252</v>
      </c>
      <c r="F97" s="25"/>
      <c r="G97" s="25" t="s">
        <v>8</v>
      </c>
      <c r="H97" s="25" t="s">
        <v>150</v>
      </c>
      <c r="I97" s="25" t="s">
        <v>165</v>
      </c>
      <c r="J97" s="25" t="s">
        <v>154</v>
      </c>
      <c r="K97" s="25">
        <v>90</v>
      </c>
      <c r="L97" s="25" t="s">
        <v>168</v>
      </c>
      <c r="M97" s="25"/>
      <c r="N97" s="25"/>
      <c r="O97" s="25">
        <v>11649</v>
      </c>
      <c r="P97" s="28">
        <v>11749</v>
      </c>
      <c r="Q97" s="30">
        <v>45591</v>
      </c>
      <c r="R97" s="30">
        <v>45606</v>
      </c>
      <c r="S97" s="30">
        <v>45614</v>
      </c>
      <c r="T97" s="32" t="s">
        <v>199</v>
      </c>
      <c r="U97" s="32" t="s">
        <v>198</v>
      </c>
    </row>
    <row r="98" spans="1:21" ht="20.100000000000001" customHeight="1" x14ac:dyDescent="0.25">
      <c r="A98" s="25">
        <v>98</v>
      </c>
      <c r="B98" s="60">
        <v>1718949</v>
      </c>
      <c r="C98" s="60">
        <v>1286883</v>
      </c>
      <c r="D98" s="25" t="s">
        <v>131</v>
      </c>
      <c r="E98" s="25" t="s">
        <v>252</v>
      </c>
      <c r="F98" s="25"/>
      <c r="G98" s="25" t="s">
        <v>8</v>
      </c>
      <c r="H98" s="25" t="s">
        <v>150</v>
      </c>
      <c r="I98" s="25" t="s">
        <v>165</v>
      </c>
      <c r="J98" s="25" t="s">
        <v>154</v>
      </c>
      <c r="K98" s="25">
        <v>90</v>
      </c>
      <c r="L98" s="25" t="s">
        <v>168</v>
      </c>
      <c r="M98" s="25"/>
      <c r="N98" s="25"/>
      <c r="O98" s="25">
        <v>11649</v>
      </c>
      <c r="P98" s="28">
        <v>11749</v>
      </c>
      <c r="Q98" s="30">
        <v>45591</v>
      </c>
      <c r="R98" s="30">
        <v>45606</v>
      </c>
      <c r="S98" s="30">
        <v>45614</v>
      </c>
      <c r="T98" s="32" t="s">
        <v>199</v>
      </c>
      <c r="U98" s="32" t="s">
        <v>198</v>
      </c>
    </row>
    <row r="99" spans="1:21" ht="20.100000000000001" customHeight="1" x14ac:dyDescent="0.25">
      <c r="A99" s="25">
        <v>99</v>
      </c>
      <c r="B99" s="25"/>
      <c r="C99" s="25"/>
      <c r="D99" s="25" t="s">
        <v>253</v>
      </c>
      <c r="E99" s="25" t="s">
        <v>107</v>
      </c>
      <c r="F99" s="25"/>
      <c r="G99" s="25" t="s">
        <v>254</v>
      </c>
      <c r="H99" s="25" t="s">
        <v>150</v>
      </c>
      <c r="I99" s="25" t="s">
        <v>153</v>
      </c>
      <c r="J99" s="25" t="s">
        <v>156</v>
      </c>
      <c r="K99" s="25">
        <v>100</v>
      </c>
      <c r="L99" s="25" t="s">
        <v>167</v>
      </c>
      <c r="M99" s="25"/>
      <c r="N99" s="25"/>
      <c r="O99" s="25" t="s">
        <v>255</v>
      </c>
      <c r="P99" s="28">
        <v>4800</v>
      </c>
      <c r="Q99" s="30">
        <v>45593</v>
      </c>
      <c r="R99" s="30">
        <v>45607</v>
      </c>
      <c r="S99" s="30">
        <v>45617</v>
      </c>
      <c r="T99" s="32" t="s">
        <v>199</v>
      </c>
      <c r="U99" s="32" t="s">
        <v>198</v>
      </c>
    </row>
    <row r="100" spans="1:21" ht="20.100000000000001" customHeight="1" x14ac:dyDescent="0.25">
      <c r="A100" s="25">
        <v>100</v>
      </c>
      <c r="B100" s="25"/>
      <c r="C100" s="25"/>
      <c r="D100" s="25" t="s">
        <v>253</v>
      </c>
      <c r="E100" s="25" t="s">
        <v>107</v>
      </c>
      <c r="F100" s="25"/>
      <c r="G100" s="25" t="s">
        <v>254</v>
      </c>
      <c r="H100" s="25" t="s">
        <v>150</v>
      </c>
      <c r="I100" s="25" t="s">
        <v>153</v>
      </c>
      <c r="J100" s="25" t="s">
        <v>156</v>
      </c>
      <c r="K100" s="25">
        <v>120</v>
      </c>
      <c r="L100" s="25" t="s">
        <v>167</v>
      </c>
      <c r="M100" s="25"/>
      <c r="N100" s="25"/>
      <c r="O100" s="25" t="s">
        <v>256</v>
      </c>
      <c r="P100" s="28">
        <v>4800</v>
      </c>
      <c r="Q100" s="30">
        <v>45593</v>
      </c>
      <c r="R100" s="30">
        <v>45607</v>
      </c>
      <c r="S100" s="30">
        <v>45617</v>
      </c>
      <c r="T100" s="32" t="s">
        <v>199</v>
      </c>
      <c r="U100" s="32" t="s">
        <v>198</v>
      </c>
    </row>
    <row r="101" spans="1:21" ht="20.100000000000001" customHeight="1" x14ac:dyDescent="0.25">
      <c r="A101" s="25">
        <v>101</v>
      </c>
      <c r="B101" s="60">
        <v>1744766</v>
      </c>
      <c r="C101" s="60">
        <v>1298738</v>
      </c>
      <c r="D101" s="25" t="s">
        <v>257</v>
      </c>
      <c r="E101" s="25" t="s">
        <v>264</v>
      </c>
      <c r="F101" s="25"/>
      <c r="G101" s="25" t="s">
        <v>8</v>
      </c>
      <c r="H101" s="25" t="s">
        <v>150</v>
      </c>
      <c r="I101" s="25" t="s">
        <v>165</v>
      </c>
      <c r="J101" s="25" t="s">
        <v>155</v>
      </c>
      <c r="K101" s="25">
        <v>80</v>
      </c>
      <c r="L101" s="25" t="s">
        <v>167</v>
      </c>
      <c r="M101" s="25"/>
      <c r="N101" s="25"/>
      <c r="O101" s="25">
        <v>12099</v>
      </c>
      <c r="P101" s="28" t="s">
        <v>16</v>
      </c>
      <c r="Q101" s="30">
        <v>45607</v>
      </c>
      <c r="R101" s="30">
        <v>45622</v>
      </c>
      <c r="S101" s="30">
        <v>45623</v>
      </c>
      <c r="T101" s="32" t="s">
        <v>199</v>
      </c>
      <c r="U101" s="32" t="s">
        <v>198</v>
      </c>
    </row>
    <row r="102" spans="1:21" ht="20.100000000000001" customHeight="1" x14ac:dyDescent="0.2">
      <c r="A102" s="25">
        <v>102</v>
      </c>
      <c r="B102" s="67">
        <v>240082226</v>
      </c>
      <c r="C102" s="25"/>
      <c r="D102" s="25" t="s">
        <v>52</v>
      </c>
      <c r="E102" s="25" t="s">
        <v>224</v>
      </c>
      <c r="F102" s="25"/>
      <c r="G102" s="25" t="s">
        <v>52</v>
      </c>
      <c r="H102" s="25" t="s">
        <v>205</v>
      </c>
      <c r="I102" s="25" t="s">
        <v>206</v>
      </c>
      <c r="J102" s="25" t="s">
        <v>258</v>
      </c>
      <c r="K102" s="25"/>
      <c r="L102" s="25" t="s">
        <v>207</v>
      </c>
      <c r="M102" s="25" t="s">
        <v>259</v>
      </c>
      <c r="N102" s="25"/>
      <c r="O102" s="25">
        <v>15872</v>
      </c>
      <c r="P102" s="28" t="s">
        <v>260</v>
      </c>
      <c r="Q102" s="30">
        <v>45604</v>
      </c>
      <c r="R102" s="25" t="s">
        <v>261</v>
      </c>
      <c r="S102" s="30">
        <v>45610</v>
      </c>
      <c r="T102" s="32" t="s">
        <v>199</v>
      </c>
      <c r="U102" s="32" t="s">
        <v>198</v>
      </c>
    </row>
    <row r="103" spans="1:21" ht="20.100000000000001" customHeight="1" x14ac:dyDescent="0.25">
      <c r="A103" s="25">
        <v>103</v>
      </c>
      <c r="B103" s="25" t="s">
        <v>262</v>
      </c>
      <c r="C103" s="25"/>
      <c r="D103" s="25" t="s">
        <v>263</v>
      </c>
      <c r="E103" s="25" t="s">
        <v>34</v>
      </c>
      <c r="F103" s="25"/>
      <c r="G103" s="25" t="s">
        <v>263</v>
      </c>
      <c r="H103" s="25" t="s">
        <v>150</v>
      </c>
      <c r="I103" s="25" t="s">
        <v>153</v>
      </c>
      <c r="J103" s="25" t="s">
        <v>177</v>
      </c>
      <c r="K103" s="25">
        <v>120</v>
      </c>
      <c r="L103" s="25" t="s">
        <v>167</v>
      </c>
      <c r="M103" s="25"/>
      <c r="N103" s="25"/>
      <c r="O103" s="25">
        <v>4520</v>
      </c>
      <c r="P103" s="28" t="s">
        <v>85</v>
      </c>
      <c r="Q103" s="30">
        <v>45606</v>
      </c>
      <c r="R103" s="30">
        <v>45618</v>
      </c>
      <c r="S103" s="30">
        <v>45617</v>
      </c>
      <c r="T103" s="32" t="s">
        <v>199</v>
      </c>
      <c r="U103" s="32" t="s">
        <v>198</v>
      </c>
    </row>
    <row r="104" spans="1:21" ht="20.100000000000001" customHeight="1" x14ac:dyDescent="0.25">
      <c r="A104" s="25">
        <v>104</v>
      </c>
      <c r="B104" s="25" t="s">
        <v>265</v>
      </c>
      <c r="C104" s="25"/>
      <c r="D104" s="25" t="s">
        <v>83</v>
      </c>
      <c r="E104" s="25" t="s">
        <v>200</v>
      </c>
      <c r="F104" s="25"/>
      <c r="G104" s="25" t="s">
        <v>56</v>
      </c>
      <c r="H104" s="25" t="s">
        <v>150</v>
      </c>
      <c r="I104" s="25" t="s">
        <v>165</v>
      </c>
      <c r="J104" s="25" t="s">
        <v>154</v>
      </c>
      <c r="K104" s="25">
        <v>90</v>
      </c>
      <c r="L104" s="25" t="s">
        <v>168</v>
      </c>
      <c r="M104" s="25"/>
      <c r="N104" s="25"/>
      <c r="O104" s="25">
        <v>5766</v>
      </c>
      <c r="P104" s="28" t="s">
        <v>85</v>
      </c>
      <c r="Q104" s="30">
        <v>45608</v>
      </c>
      <c r="R104" s="30">
        <v>45622</v>
      </c>
      <c r="S104" s="30">
        <v>45621</v>
      </c>
      <c r="T104" s="32" t="s">
        <v>199</v>
      </c>
      <c r="U104" s="32" t="s">
        <v>198</v>
      </c>
    </row>
    <row r="105" spans="1:21" ht="20.100000000000001" customHeight="1" x14ac:dyDescent="0.25">
      <c r="A105" s="25">
        <v>105</v>
      </c>
      <c r="B105" s="60">
        <v>1752544</v>
      </c>
      <c r="C105" s="60">
        <v>1302011</v>
      </c>
      <c r="D105" s="25" t="s">
        <v>266</v>
      </c>
      <c r="E105" s="25" t="s">
        <v>107</v>
      </c>
      <c r="F105" s="25"/>
      <c r="G105" s="25" t="s">
        <v>8</v>
      </c>
      <c r="H105" s="25" t="s">
        <v>150</v>
      </c>
      <c r="I105" s="25" t="s">
        <v>153</v>
      </c>
      <c r="J105" s="25" t="s">
        <v>177</v>
      </c>
      <c r="K105" s="25">
        <v>160</v>
      </c>
      <c r="L105" s="25" t="s">
        <v>173</v>
      </c>
      <c r="M105" s="25"/>
      <c r="N105" s="25"/>
      <c r="O105" s="25">
        <v>11395</v>
      </c>
      <c r="P105" s="28" t="s">
        <v>16</v>
      </c>
      <c r="Q105" s="30">
        <v>45608</v>
      </c>
      <c r="R105" s="30">
        <v>45620</v>
      </c>
      <c r="S105" s="30">
        <v>45623</v>
      </c>
      <c r="T105" s="32" t="s">
        <v>199</v>
      </c>
      <c r="U105" s="32" t="s">
        <v>198</v>
      </c>
    </row>
    <row r="106" spans="1:21" ht="20.100000000000001" customHeight="1" x14ac:dyDescent="0.25">
      <c r="A106" s="25">
        <v>106</v>
      </c>
      <c r="B106" s="60">
        <v>1755075</v>
      </c>
      <c r="C106" s="60">
        <v>1303159</v>
      </c>
      <c r="D106" s="25" t="s">
        <v>267</v>
      </c>
      <c r="E106" s="25" t="s">
        <v>34</v>
      </c>
      <c r="F106" s="25"/>
      <c r="G106" s="25" t="s">
        <v>8</v>
      </c>
      <c r="H106" s="25" t="s">
        <v>150</v>
      </c>
      <c r="I106" s="25" t="s">
        <v>165</v>
      </c>
      <c r="J106" s="25" t="s">
        <v>268</v>
      </c>
      <c r="K106" s="25">
        <v>80</v>
      </c>
      <c r="L106" s="25" t="s">
        <v>167</v>
      </c>
      <c r="M106" s="25"/>
      <c r="N106" s="25"/>
      <c r="O106" s="25">
        <v>12919</v>
      </c>
      <c r="P106" s="28" t="s">
        <v>16</v>
      </c>
      <c r="Q106" s="30">
        <v>45610</v>
      </c>
      <c r="R106" s="30">
        <v>45626</v>
      </c>
      <c r="S106" s="30">
        <v>45623</v>
      </c>
      <c r="T106" s="32" t="s">
        <v>199</v>
      </c>
      <c r="U106" s="32" t="s">
        <v>198</v>
      </c>
    </row>
    <row r="107" spans="1:21" ht="20.100000000000001" customHeight="1" x14ac:dyDescent="0.25">
      <c r="A107" s="25">
        <v>107</v>
      </c>
      <c r="B107" s="25" t="s">
        <v>269</v>
      </c>
      <c r="C107" s="25"/>
      <c r="D107" s="25" t="s">
        <v>83</v>
      </c>
      <c r="E107" s="25" t="s">
        <v>200</v>
      </c>
      <c r="F107" s="25"/>
      <c r="G107" s="25" t="s">
        <v>56</v>
      </c>
      <c r="H107" s="25" t="s">
        <v>270</v>
      </c>
      <c r="I107" s="25" t="s">
        <v>165</v>
      </c>
      <c r="J107" s="25" t="s">
        <v>152</v>
      </c>
      <c r="K107" s="25">
        <v>120</v>
      </c>
      <c r="L107" s="25" t="s">
        <v>172</v>
      </c>
      <c r="M107" s="25"/>
      <c r="N107" s="25"/>
      <c r="O107" s="25">
        <v>6376</v>
      </c>
      <c r="P107" s="28" t="s">
        <v>85</v>
      </c>
      <c r="Q107" s="30">
        <v>45610</v>
      </c>
      <c r="R107" s="30">
        <v>45623</v>
      </c>
      <c r="S107" s="30">
        <v>45621</v>
      </c>
      <c r="T107" s="32" t="s">
        <v>199</v>
      </c>
      <c r="U107" s="32" t="s">
        <v>198</v>
      </c>
    </row>
    <row r="108" spans="1:21" ht="20.100000000000001" customHeight="1" x14ac:dyDescent="0.25">
      <c r="A108" s="25">
        <v>108</v>
      </c>
      <c r="B108" s="25" t="s">
        <v>271</v>
      </c>
      <c r="C108" s="25"/>
      <c r="D108" s="25" t="s">
        <v>83</v>
      </c>
      <c r="E108" s="25" t="s">
        <v>272</v>
      </c>
      <c r="F108" s="25"/>
      <c r="G108" s="25" t="s">
        <v>56</v>
      </c>
      <c r="H108" s="25" t="s">
        <v>150</v>
      </c>
      <c r="I108" s="25" t="s">
        <v>273</v>
      </c>
      <c r="J108" s="25" t="s">
        <v>152</v>
      </c>
      <c r="K108" s="25">
        <v>90</v>
      </c>
      <c r="L108" s="25" t="s">
        <v>168</v>
      </c>
      <c r="M108" s="25"/>
      <c r="N108" s="25"/>
      <c r="O108" s="25">
        <v>5294</v>
      </c>
      <c r="P108" s="28" t="s">
        <v>85</v>
      </c>
      <c r="Q108" s="30">
        <v>45610</v>
      </c>
      <c r="R108" s="30">
        <v>45623</v>
      </c>
      <c r="S108" s="30">
        <v>45621</v>
      </c>
      <c r="T108" s="32" t="s">
        <v>199</v>
      </c>
      <c r="U108" s="32" t="s">
        <v>198</v>
      </c>
    </row>
    <row r="109" spans="1:21" ht="20.100000000000001" customHeight="1" x14ac:dyDescent="0.2">
      <c r="A109" s="25">
        <v>109</v>
      </c>
      <c r="B109" s="68">
        <v>265453625</v>
      </c>
      <c r="C109" s="25"/>
      <c r="D109" s="25" t="s">
        <v>275</v>
      </c>
      <c r="E109" s="25" t="s">
        <v>39</v>
      </c>
      <c r="F109" s="68">
        <v>1277038843</v>
      </c>
      <c r="G109" s="25" t="s">
        <v>276</v>
      </c>
      <c r="H109" s="25" t="s">
        <v>270</v>
      </c>
      <c r="I109" s="25" t="s">
        <v>273</v>
      </c>
      <c r="J109" s="25" t="s">
        <v>277</v>
      </c>
      <c r="K109" s="25">
        <v>80</v>
      </c>
      <c r="L109" s="25" t="s">
        <v>167</v>
      </c>
      <c r="M109" s="25"/>
      <c r="N109" s="25"/>
      <c r="O109" s="25">
        <v>7396</v>
      </c>
      <c r="P109" s="28" t="s">
        <v>16</v>
      </c>
      <c r="Q109" s="30">
        <v>45613</v>
      </c>
      <c r="R109" s="30">
        <v>45624</v>
      </c>
      <c r="S109" s="30">
        <v>45622</v>
      </c>
      <c r="T109" s="32" t="s">
        <v>199</v>
      </c>
      <c r="U109" s="32" t="s">
        <v>198</v>
      </c>
    </row>
    <row r="110" spans="1:21" ht="20.100000000000001" customHeight="1" x14ac:dyDescent="0.25">
      <c r="A110" s="25">
        <v>110</v>
      </c>
      <c r="B110" s="60">
        <v>1762617</v>
      </c>
      <c r="C110" s="60">
        <v>1306879</v>
      </c>
      <c r="D110" s="25" t="s">
        <v>131</v>
      </c>
      <c r="E110" s="25" t="s">
        <v>278</v>
      </c>
      <c r="F110" s="25"/>
      <c r="G110" s="25" t="s">
        <v>8</v>
      </c>
      <c r="H110" s="25" t="s">
        <v>150</v>
      </c>
      <c r="I110" s="25" t="s">
        <v>165</v>
      </c>
      <c r="J110" s="25" t="s">
        <v>154</v>
      </c>
      <c r="K110" s="25">
        <v>90</v>
      </c>
      <c r="L110" s="25" t="s">
        <v>168</v>
      </c>
      <c r="M110" s="25"/>
      <c r="N110" s="25"/>
      <c r="O110" s="25">
        <v>13439</v>
      </c>
      <c r="P110" s="28">
        <v>13575</v>
      </c>
      <c r="Q110" s="30">
        <v>45616</v>
      </c>
      <c r="R110" s="30">
        <v>45631</v>
      </c>
      <c r="S110" s="30">
        <v>45622</v>
      </c>
      <c r="T110" s="32" t="s">
        <v>199</v>
      </c>
      <c r="U110" s="32" t="s">
        <v>198</v>
      </c>
    </row>
    <row r="111" spans="1:21" ht="20.100000000000001" customHeight="1" x14ac:dyDescent="0.25">
      <c r="A111" s="2">
        <v>111</v>
      </c>
      <c r="B111" s="2"/>
      <c r="C111" s="2"/>
      <c r="D111" s="2" t="s">
        <v>41</v>
      </c>
      <c r="E111" s="2" t="s">
        <v>46</v>
      </c>
      <c r="F111" s="2"/>
      <c r="G111" s="2" t="s">
        <v>41</v>
      </c>
      <c r="H111" s="2" t="s">
        <v>150</v>
      </c>
      <c r="I111" s="2" t="s">
        <v>279</v>
      </c>
      <c r="J111" s="2" t="s">
        <v>280</v>
      </c>
      <c r="K111" s="2">
        <v>160</v>
      </c>
      <c r="L111" s="2" t="s">
        <v>168</v>
      </c>
      <c r="M111" s="2"/>
      <c r="N111" s="2"/>
      <c r="O111" s="2">
        <v>5100</v>
      </c>
      <c r="P111" s="3" t="s">
        <v>85</v>
      </c>
      <c r="Q111" s="66">
        <v>45610</v>
      </c>
      <c r="R111" s="66">
        <v>45634</v>
      </c>
      <c r="S111" s="2"/>
      <c r="T111" s="2"/>
      <c r="U111" s="1"/>
    </row>
    <row r="112" spans="1:21" ht="20.100000000000001" customHeight="1" x14ac:dyDescent="0.25">
      <c r="A112" s="25">
        <v>112</v>
      </c>
      <c r="B112" s="25"/>
      <c r="C112" s="25"/>
      <c r="D112" s="25" t="s">
        <v>281</v>
      </c>
      <c r="E112" s="25" t="s">
        <v>49</v>
      </c>
      <c r="F112" s="25"/>
      <c r="G112" s="25" t="s">
        <v>282</v>
      </c>
      <c r="H112" s="25" t="s">
        <v>270</v>
      </c>
      <c r="I112" s="25" t="s">
        <v>153</v>
      </c>
      <c r="J112" s="25" t="s">
        <v>283</v>
      </c>
      <c r="K112" s="25">
        <v>160</v>
      </c>
      <c r="L112" s="25" t="s">
        <v>176</v>
      </c>
      <c r="M112" s="25" t="s">
        <v>167</v>
      </c>
      <c r="N112" s="25"/>
      <c r="O112" s="25" t="s">
        <v>284</v>
      </c>
      <c r="P112" s="28">
        <v>5800</v>
      </c>
      <c r="Q112" s="30">
        <v>45618</v>
      </c>
      <c r="R112" s="30">
        <v>45628</v>
      </c>
      <c r="S112" s="30">
        <v>45623</v>
      </c>
      <c r="T112" s="32" t="s">
        <v>199</v>
      </c>
      <c r="U112" s="32" t="s">
        <v>198</v>
      </c>
    </row>
    <row r="113" spans="1:21" ht="20.100000000000001" customHeight="1" x14ac:dyDescent="0.25">
      <c r="A113" s="25">
        <v>113</v>
      </c>
      <c r="B113" s="60">
        <v>1765451</v>
      </c>
      <c r="C113" s="60">
        <v>1308241</v>
      </c>
      <c r="D113" s="25" t="s">
        <v>285</v>
      </c>
      <c r="E113" s="25" t="s">
        <v>286</v>
      </c>
      <c r="F113" s="25"/>
      <c r="G113" s="25" t="s">
        <v>8</v>
      </c>
      <c r="H113" s="25" t="s">
        <v>150</v>
      </c>
      <c r="I113" s="25" t="s">
        <v>279</v>
      </c>
      <c r="J113" s="25" t="s">
        <v>287</v>
      </c>
      <c r="K113" s="25">
        <v>120</v>
      </c>
      <c r="L113" s="25" t="s">
        <v>172</v>
      </c>
      <c r="M113" s="25"/>
      <c r="N113" s="25"/>
      <c r="O113" s="25">
        <v>10885</v>
      </c>
      <c r="P113" s="28">
        <v>7965</v>
      </c>
      <c r="Q113" s="30">
        <v>45620</v>
      </c>
      <c r="R113" s="30">
        <v>45631</v>
      </c>
      <c r="S113" s="30">
        <v>45636</v>
      </c>
      <c r="T113" s="32" t="s">
        <v>199</v>
      </c>
      <c r="U113" s="32" t="s">
        <v>198</v>
      </c>
    </row>
    <row r="114" spans="1:21" ht="20.100000000000001" customHeight="1" x14ac:dyDescent="0.25">
      <c r="A114" s="25">
        <v>114</v>
      </c>
      <c r="B114" s="25"/>
      <c r="C114" s="25"/>
      <c r="D114" s="25" t="s">
        <v>41</v>
      </c>
      <c r="E114" s="25" t="s">
        <v>46</v>
      </c>
      <c r="F114" s="25"/>
      <c r="G114" s="25" t="s">
        <v>43</v>
      </c>
      <c r="H114" s="25" t="s">
        <v>205</v>
      </c>
      <c r="I114" s="25" t="s">
        <v>288</v>
      </c>
      <c r="J114" s="25" t="s">
        <v>288</v>
      </c>
      <c r="K114" s="25"/>
      <c r="L114" s="25"/>
      <c r="M114" s="25"/>
      <c r="N114" s="25"/>
      <c r="O114" s="25">
        <v>6000</v>
      </c>
      <c r="P114" s="28">
        <v>6000</v>
      </c>
      <c r="Q114" s="30">
        <v>45615</v>
      </c>
      <c r="R114" s="30">
        <v>45631</v>
      </c>
      <c r="S114" s="30">
        <v>45616</v>
      </c>
      <c r="T114" s="25" t="s">
        <v>289</v>
      </c>
      <c r="U114" s="32" t="s">
        <v>198</v>
      </c>
    </row>
    <row r="115" spans="1:21" ht="20.100000000000001" customHeight="1" x14ac:dyDescent="0.25">
      <c r="A115" s="25">
        <v>115</v>
      </c>
      <c r="B115" s="60">
        <v>1782674</v>
      </c>
      <c r="C115" s="25">
        <v>1315860</v>
      </c>
      <c r="D115" s="25" t="s">
        <v>290</v>
      </c>
      <c r="E115" s="25" t="s">
        <v>291</v>
      </c>
      <c r="F115" s="25"/>
      <c r="G115" s="25" t="s">
        <v>8</v>
      </c>
      <c r="H115" s="25" t="s">
        <v>292</v>
      </c>
      <c r="I115" s="25"/>
      <c r="J115" s="25" t="s">
        <v>293</v>
      </c>
      <c r="K115" s="25"/>
      <c r="L115" s="25"/>
      <c r="M115" s="25"/>
      <c r="N115" s="25"/>
      <c r="O115" s="25">
        <v>8449</v>
      </c>
      <c r="P115" s="28" t="s">
        <v>16</v>
      </c>
      <c r="Q115" s="30">
        <v>45623</v>
      </c>
      <c r="R115" s="30">
        <v>45636</v>
      </c>
      <c r="S115" s="30">
        <v>45649</v>
      </c>
      <c r="T115" s="25" t="s">
        <v>28</v>
      </c>
      <c r="U115" s="33" t="s">
        <v>198</v>
      </c>
    </row>
    <row r="116" spans="1:21" ht="20.100000000000001" customHeight="1" x14ac:dyDescent="0.25">
      <c r="A116" s="25">
        <v>116</v>
      </c>
      <c r="B116" s="25">
        <v>1781530</v>
      </c>
      <c r="C116" s="60">
        <v>1315450</v>
      </c>
      <c r="D116" s="25" t="s">
        <v>294</v>
      </c>
      <c r="E116" s="25" t="s">
        <v>59</v>
      </c>
      <c r="F116" s="25"/>
      <c r="G116" s="25" t="s">
        <v>8</v>
      </c>
      <c r="H116" s="25" t="s">
        <v>292</v>
      </c>
      <c r="I116" s="25" t="s">
        <v>295</v>
      </c>
      <c r="J116" s="25" t="s">
        <v>296</v>
      </c>
      <c r="K116" s="25"/>
      <c r="L116" s="25" t="s">
        <v>167</v>
      </c>
      <c r="M116" s="25" t="s">
        <v>297</v>
      </c>
      <c r="N116" s="25"/>
      <c r="O116" s="25">
        <v>10249</v>
      </c>
      <c r="P116" s="28">
        <v>6211</v>
      </c>
      <c r="Q116" s="30">
        <v>45623</v>
      </c>
      <c r="R116" s="30">
        <v>45636</v>
      </c>
      <c r="S116" s="30">
        <v>45645</v>
      </c>
      <c r="T116" s="32" t="s">
        <v>199</v>
      </c>
      <c r="U116" s="32" t="s">
        <v>198</v>
      </c>
    </row>
    <row r="117" spans="1:21" ht="20.100000000000001" customHeight="1" x14ac:dyDescent="0.25">
      <c r="A117" s="11">
        <v>117</v>
      </c>
      <c r="B117" s="11">
        <v>1795447</v>
      </c>
      <c r="C117" s="11">
        <v>1321584</v>
      </c>
      <c r="D117" s="11" t="s">
        <v>298</v>
      </c>
      <c r="E117" s="11" t="s">
        <v>299</v>
      </c>
      <c r="F117" s="11"/>
      <c r="G117" s="11" t="s">
        <v>8</v>
      </c>
      <c r="H117" s="11" t="s">
        <v>150</v>
      </c>
      <c r="I117" s="11" t="s">
        <v>165</v>
      </c>
      <c r="J117" s="11" t="s">
        <v>155</v>
      </c>
      <c r="K117" s="11">
        <v>100</v>
      </c>
      <c r="L117" s="11" t="s">
        <v>168</v>
      </c>
      <c r="M117" s="11"/>
      <c r="N117" s="11"/>
      <c r="O117" s="11">
        <v>14905</v>
      </c>
      <c r="P117" s="13" t="s">
        <v>16</v>
      </c>
      <c r="Q117" s="17">
        <v>45625</v>
      </c>
      <c r="R117" s="17">
        <v>45641</v>
      </c>
      <c r="S117" s="11"/>
      <c r="T117" s="11" t="s">
        <v>319</v>
      </c>
      <c r="U117" s="70" t="s">
        <v>236</v>
      </c>
    </row>
    <row r="118" spans="1:21" ht="20.100000000000001" customHeight="1" x14ac:dyDescent="0.25">
      <c r="A118" s="11">
        <v>118</v>
      </c>
      <c r="B118" s="71">
        <v>1808440</v>
      </c>
      <c r="C118" s="71">
        <v>1327172</v>
      </c>
      <c r="D118" s="11" t="s">
        <v>300</v>
      </c>
      <c r="E118" s="11" t="s">
        <v>67</v>
      </c>
      <c r="F118" s="11"/>
      <c r="G118" s="11" t="s">
        <v>8</v>
      </c>
      <c r="H118" s="11" t="s">
        <v>301</v>
      </c>
      <c r="I118" s="11" t="s">
        <v>295</v>
      </c>
      <c r="J118" s="11" t="s">
        <v>296</v>
      </c>
      <c r="K118" s="11"/>
      <c r="L118" s="11" t="s">
        <v>207</v>
      </c>
      <c r="M118" s="11" t="s">
        <v>302</v>
      </c>
      <c r="N118" s="11"/>
      <c r="O118" s="11">
        <v>10249</v>
      </c>
      <c r="P118" s="13" t="s">
        <v>16</v>
      </c>
      <c r="Q118" s="17">
        <v>45626</v>
      </c>
      <c r="R118" s="17">
        <v>45638</v>
      </c>
      <c r="S118" s="11"/>
      <c r="T118" s="11"/>
      <c r="U118" s="70" t="s">
        <v>236</v>
      </c>
    </row>
    <row r="119" spans="1:21" ht="20.100000000000001" customHeight="1" x14ac:dyDescent="0.25">
      <c r="A119" s="11">
        <v>119</v>
      </c>
      <c r="B119" s="11">
        <v>1808441</v>
      </c>
      <c r="C119" s="71">
        <v>1327172</v>
      </c>
      <c r="D119" s="11" t="s">
        <v>303</v>
      </c>
      <c r="E119" s="11" t="s">
        <v>67</v>
      </c>
      <c r="F119" s="11"/>
      <c r="G119" s="11" t="s">
        <v>304</v>
      </c>
      <c r="H119" s="11" t="s">
        <v>301</v>
      </c>
      <c r="I119" s="11" t="s">
        <v>189</v>
      </c>
      <c r="J119" s="11"/>
      <c r="K119" s="11"/>
      <c r="L119" s="11" t="s">
        <v>168</v>
      </c>
      <c r="M119" s="11" t="s">
        <v>305</v>
      </c>
      <c r="N119" s="11"/>
      <c r="O119" s="11">
        <v>9029</v>
      </c>
      <c r="P119" s="13" t="s">
        <v>16</v>
      </c>
      <c r="Q119" s="17">
        <v>45626</v>
      </c>
      <c r="R119" s="17">
        <v>45638</v>
      </c>
      <c r="S119" s="11"/>
      <c r="T119" s="11"/>
      <c r="U119" s="70" t="s">
        <v>236</v>
      </c>
    </row>
    <row r="120" spans="1:21" ht="20.100000000000001" customHeight="1" x14ac:dyDescent="0.25">
      <c r="A120" s="2">
        <v>120</v>
      </c>
      <c r="B120" s="62">
        <v>1805052</v>
      </c>
      <c r="C120" s="62">
        <v>1325637</v>
      </c>
      <c r="D120" s="2" t="s">
        <v>306</v>
      </c>
      <c r="E120" s="2" t="s">
        <v>144</v>
      </c>
      <c r="F120" s="2"/>
      <c r="G120" s="2" t="s">
        <v>304</v>
      </c>
      <c r="H120" s="2" t="s">
        <v>292</v>
      </c>
      <c r="I120" s="2" t="s">
        <v>307</v>
      </c>
      <c r="J120" s="2"/>
      <c r="K120" s="2"/>
      <c r="L120" s="2" t="s">
        <v>207</v>
      </c>
      <c r="M120" s="2" t="s">
        <v>308</v>
      </c>
      <c r="N120" s="2"/>
      <c r="O120" s="2">
        <v>9029</v>
      </c>
      <c r="P120" s="3" t="s">
        <v>16</v>
      </c>
      <c r="Q120" s="66">
        <v>45626</v>
      </c>
      <c r="R120" s="66">
        <v>45638</v>
      </c>
      <c r="S120" s="2"/>
      <c r="T120" s="2"/>
      <c r="U120" s="1"/>
    </row>
    <row r="121" spans="1:21" ht="20.100000000000001" customHeight="1" x14ac:dyDescent="0.25">
      <c r="A121" s="11">
        <v>121</v>
      </c>
      <c r="B121" s="71">
        <v>1813823</v>
      </c>
      <c r="C121" s="71">
        <v>1329646</v>
      </c>
      <c r="D121" s="11" t="s">
        <v>309</v>
      </c>
      <c r="E121" s="11" t="s">
        <v>310</v>
      </c>
      <c r="F121" s="11"/>
      <c r="G121" s="11" t="s">
        <v>8</v>
      </c>
      <c r="H121" s="11" t="s">
        <v>150</v>
      </c>
      <c r="I121" s="11" t="s">
        <v>273</v>
      </c>
      <c r="J121" s="11" t="s">
        <v>152</v>
      </c>
      <c r="K121" s="72">
        <v>80</v>
      </c>
      <c r="L121" s="11" t="s">
        <v>167</v>
      </c>
      <c r="M121" s="11"/>
      <c r="N121" s="11"/>
      <c r="O121" s="11">
        <v>12099</v>
      </c>
      <c r="P121" s="13" t="s">
        <v>16</v>
      </c>
      <c r="Q121" s="17">
        <v>45628</v>
      </c>
      <c r="R121" s="17">
        <v>45643</v>
      </c>
      <c r="S121" s="11"/>
      <c r="T121" s="11"/>
      <c r="U121" s="70" t="s">
        <v>236</v>
      </c>
    </row>
    <row r="122" spans="1:21" ht="20.100000000000001" customHeight="1" x14ac:dyDescent="0.25">
      <c r="A122" s="25">
        <v>122</v>
      </c>
      <c r="B122" s="25" t="s">
        <v>311</v>
      </c>
      <c r="C122" s="25"/>
      <c r="D122" s="25" t="s">
        <v>83</v>
      </c>
      <c r="E122" s="25" t="s">
        <v>200</v>
      </c>
      <c r="F122" s="25"/>
      <c r="G122" s="25" t="s">
        <v>56</v>
      </c>
      <c r="H122" s="25" t="s">
        <v>150</v>
      </c>
      <c r="I122" s="25" t="s">
        <v>273</v>
      </c>
      <c r="J122" s="25" t="s">
        <v>277</v>
      </c>
      <c r="K122" s="61">
        <v>90</v>
      </c>
      <c r="L122" s="25" t="s">
        <v>170</v>
      </c>
      <c r="M122" s="25"/>
      <c r="N122" s="25"/>
      <c r="O122" s="25">
        <v>5217</v>
      </c>
      <c r="P122" s="28" t="s">
        <v>85</v>
      </c>
      <c r="Q122" s="30">
        <v>45627</v>
      </c>
      <c r="R122" s="30">
        <v>45640</v>
      </c>
      <c r="S122" s="30">
        <v>45636</v>
      </c>
      <c r="T122" s="32" t="s">
        <v>199</v>
      </c>
      <c r="U122" s="32" t="s">
        <v>198</v>
      </c>
    </row>
    <row r="123" spans="1:21" ht="20.100000000000001" customHeight="1" x14ac:dyDescent="0.25">
      <c r="A123" s="25">
        <v>123</v>
      </c>
      <c r="B123" s="60">
        <v>1810950</v>
      </c>
      <c r="C123" s="60">
        <v>1328141</v>
      </c>
      <c r="D123" s="25" t="s">
        <v>312</v>
      </c>
      <c r="E123" s="25" t="s">
        <v>135</v>
      </c>
      <c r="F123" s="25"/>
      <c r="G123" s="25" t="s">
        <v>8</v>
      </c>
      <c r="H123" s="25" t="s">
        <v>270</v>
      </c>
      <c r="I123" s="25" t="s">
        <v>151</v>
      </c>
      <c r="J123" s="25"/>
      <c r="K123" s="25"/>
      <c r="L123" s="25" t="s">
        <v>168</v>
      </c>
      <c r="M123" s="25" t="s">
        <v>168</v>
      </c>
      <c r="N123" s="25"/>
      <c r="O123" s="25">
        <v>10249</v>
      </c>
      <c r="P123" s="28">
        <v>6211</v>
      </c>
      <c r="Q123" s="30">
        <v>45630</v>
      </c>
      <c r="R123" s="30">
        <v>45640</v>
      </c>
      <c r="S123" s="30">
        <v>45645</v>
      </c>
      <c r="T123" s="32" t="s">
        <v>199</v>
      </c>
      <c r="U123" s="32" t="s">
        <v>198</v>
      </c>
    </row>
    <row r="124" spans="1:21" ht="20.100000000000001" customHeight="1" x14ac:dyDescent="0.2">
      <c r="A124" s="25">
        <v>124</v>
      </c>
      <c r="B124" s="69">
        <v>240085463</v>
      </c>
      <c r="C124" s="25"/>
      <c r="D124" s="25" t="s">
        <v>313</v>
      </c>
      <c r="E124" s="25" t="s">
        <v>314</v>
      </c>
      <c r="F124" s="25"/>
      <c r="G124" s="25" t="s">
        <v>52</v>
      </c>
      <c r="H124" s="25" t="s">
        <v>150</v>
      </c>
      <c r="I124" s="25" t="s">
        <v>165</v>
      </c>
      <c r="J124" s="25" t="s">
        <v>154</v>
      </c>
      <c r="K124" s="25"/>
      <c r="L124" s="25" t="s">
        <v>168</v>
      </c>
      <c r="M124" s="25"/>
      <c r="N124" s="25"/>
      <c r="O124" s="25">
        <v>10445</v>
      </c>
      <c r="P124" s="28">
        <v>7707</v>
      </c>
      <c r="Q124" s="30">
        <v>45635</v>
      </c>
      <c r="R124" s="30">
        <v>45657</v>
      </c>
      <c r="S124" s="30">
        <v>45638</v>
      </c>
      <c r="T124" s="32" t="s">
        <v>199</v>
      </c>
      <c r="U124" s="32" t="s">
        <v>198</v>
      </c>
    </row>
    <row r="125" spans="1:21" ht="20.100000000000001" customHeight="1" x14ac:dyDescent="0.25">
      <c r="A125" s="25">
        <v>125</v>
      </c>
      <c r="B125" s="60">
        <v>1818591</v>
      </c>
      <c r="C125" s="60">
        <v>1332300</v>
      </c>
      <c r="D125" s="25" t="s">
        <v>315</v>
      </c>
      <c r="E125" s="25" t="s">
        <v>67</v>
      </c>
      <c r="F125" s="25"/>
      <c r="G125" s="25" t="s">
        <v>8</v>
      </c>
      <c r="H125" s="25" t="s">
        <v>292</v>
      </c>
      <c r="I125" s="25" t="s">
        <v>316</v>
      </c>
      <c r="J125" s="25" t="s">
        <v>296</v>
      </c>
      <c r="K125" s="25"/>
      <c r="L125" s="25" t="s">
        <v>207</v>
      </c>
      <c r="M125" s="25" t="s">
        <v>302</v>
      </c>
      <c r="N125" s="25"/>
      <c r="O125" s="25">
        <v>11199</v>
      </c>
      <c r="P125" s="28">
        <v>11257</v>
      </c>
      <c r="Q125" s="30">
        <v>45638</v>
      </c>
      <c r="R125" s="30">
        <v>45650</v>
      </c>
      <c r="S125" s="30">
        <v>45645</v>
      </c>
      <c r="T125" s="32" t="s">
        <v>199</v>
      </c>
      <c r="U125" s="32" t="s">
        <v>198</v>
      </c>
    </row>
    <row r="126" spans="1:21" ht="20.100000000000001" customHeight="1" x14ac:dyDescent="0.25">
      <c r="A126" s="25">
        <v>126</v>
      </c>
      <c r="B126" s="25">
        <v>1818396</v>
      </c>
      <c r="C126" s="25">
        <v>1332179</v>
      </c>
      <c r="D126" s="25" t="s">
        <v>317</v>
      </c>
      <c r="E126" s="25" t="s">
        <v>278</v>
      </c>
      <c r="F126" s="25"/>
      <c r="G126" s="25" t="s">
        <v>8</v>
      </c>
      <c r="H126" s="25" t="s">
        <v>270</v>
      </c>
      <c r="I126" s="25" t="s">
        <v>165</v>
      </c>
      <c r="J126" s="25" t="s">
        <v>152</v>
      </c>
      <c r="K126" s="25">
        <v>80</v>
      </c>
      <c r="L126" s="25" t="s">
        <v>168</v>
      </c>
      <c r="M126" s="25"/>
      <c r="N126" s="25"/>
      <c r="O126" s="25">
        <v>13099</v>
      </c>
      <c r="P126" s="28">
        <v>13231</v>
      </c>
      <c r="Q126" s="30">
        <v>45638</v>
      </c>
      <c r="R126" s="30">
        <v>45654</v>
      </c>
      <c r="S126" s="30">
        <v>45655</v>
      </c>
      <c r="T126" s="25" t="s">
        <v>199</v>
      </c>
      <c r="U126" s="32" t="s">
        <v>198</v>
      </c>
    </row>
    <row r="127" spans="1:21" ht="20.100000000000001" customHeight="1" x14ac:dyDescent="0.2">
      <c r="A127" s="25">
        <v>127</v>
      </c>
      <c r="B127" s="73">
        <v>240085758</v>
      </c>
      <c r="C127" s="25"/>
      <c r="D127" s="25" t="s">
        <v>52</v>
      </c>
      <c r="E127" s="25" t="s">
        <v>224</v>
      </c>
      <c r="F127" s="25"/>
      <c r="G127" s="25" t="s">
        <v>52</v>
      </c>
      <c r="H127" s="25" t="s">
        <v>205</v>
      </c>
      <c r="I127" s="25" t="s">
        <v>206</v>
      </c>
      <c r="J127" s="25" t="s">
        <v>258</v>
      </c>
      <c r="K127" s="25"/>
      <c r="L127" s="25" t="s">
        <v>207</v>
      </c>
      <c r="M127" s="25" t="s">
        <v>318</v>
      </c>
      <c r="N127" s="25"/>
      <c r="O127" s="25">
        <v>8700</v>
      </c>
      <c r="P127" s="28" t="s">
        <v>85</v>
      </c>
      <c r="Q127" s="30">
        <v>45640</v>
      </c>
      <c r="R127" s="30">
        <v>45662</v>
      </c>
      <c r="S127" s="30">
        <v>45655</v>
      </c>
      <c r="T127" s="25" t="s">
        <v>199</v>
      </c>
      <c r="U127" s="32" t="s">
        <v>198</v>
      </c>
    </row>
    <row r="128" spans="1:21" ht="20.100000000000001" customHeight="1" x14ac:dyDescent="0.25">
      <c r="A128" s="2"/>
      <c r="B128" s="2"/>
      <c r="C128" s="2"/>
      <c r="D128" s="2"/>
      <c r="E128" s="2"/>
      <c r="F128" s="2"/>
      <c r="G128" s="2"/>
      <c r="H128" s="2"/>
      <c r="I128" s="2"/>
      <c r="J128" s="2"/>
      <c r="K128" s="2"/>
      <c r="L128" s="2"/>
      <c r="M128" s="2"/>
      <c r="N128" s="2"/>
      <c r="O128" s="2"/>
      <c r="P128" s="3"/>
      <c r="Q128" s="2"/>
      <c r="R128" s="2"/>
      <c r="S128" s="2"/>
      <c r="T128" s="2"/>
      <c r="U128" s="1"/>
    </row>
    <row r="129" spans="1:21" ht="20.100000000000001" customHeight="1" x14ac:dyDescent="0.25">
      <c r="A129" s="2"/>
      <c r="B129" s="2"/>
      <c r="C129" s="2"/>
      <c r="D129" s="2"/>
      <c r="E129" s="2"/>
      <c r="F129" s="2"/>
      <c r="G129" s="2"/>
      <c r="H129" s="2"/>
      <c r="I129" s="2"/>
      <c r="J129" s="2"/>
      <c r="K129" s="2"/>
      <c r="L129" s="2"/>
      <c r="M129" s="2"/>
      <c r="N129" s="2"/>
      <c r="O129" s="2"/>
      <c r="P129" s="3"/>
      <c r="Q129" s="2"/>
      <c r="R129" s="2"/>
      <c r="S129" s="2"/>
      <c r="T129" s="2"/>
      <c r="U129" s="1"/>
    </row>
    <row r="130" spans="1:21" ht="20.100000000000001" customHeight="1" x14ac:dyDescent="0.25">
      <c r="A130" s="2"/>
      <c r="B130" s="2"/>
      <c r="C130" s="2"/>
      <c r="D130" s="2"/>
      <c r="E130" s="2"/>
      <c r="F130" s="2"/>
      <c r="G130" s="2"/>
      <c r="H130" s="2"/>
      <c r="I130" s="2"/>
      <c r="J130" s="2"/>
      <c r="K130" s="2"/>
      <c r="L130" s="2"/>
      <c r="M130" s="2"/>
      <c r="N130" s="2"/>
      <c r="O130" s="2"/>
      <c r="P130" s="3"/>
      <c r="Q130" s="2"/>
      <c r="R130" s="2"/>
      <c r="S130" s="2"/>
      <c r="T130" s="2"/>
      <c r="U130" s="1"/>
    </row>
    <row r="131" spans="1:21" ht="20.100000000000001" customHeight="1" x14ac:dyDescent="0.25">
      <c r="A131" s="2"/>
      <c r="B131" s="2"/>
      <c r="C131" s="2"/>
      <c r="D131" s="2"/>
      <c r="E131" s="2"/>
      <c r="F131" s="2"/>
      <c r="G131" s="2"/>
      <c r="H131" s="2"/>
      <c r="I131" s="2"/>
      <c r="J131" s="2"/>
      <c r="K131" s="2"/>
      <c r="L131" s="2"/>
      <c r="M131" s="2"/>
      <c r="N131" s="2"/>
      <c r="O131" s="2"/>
      <c r="P131" s="3"/>
      <c r="Q131" s="2"/>
      <c r="R131" s="2"/>
      <c r="S131" s="2"/>
      <c r="T131" s="2"/>
      <c r="U131" s="1"/>
    </row>
    <row r="132" spans="1:21" ht="20.100000000000001" customHeight="1" x14ac:dyDescent="0.25">
      <c r="A132" s="2"/>
      <c r="B132" s="2"/>
      <c r="C132" s="2"/>
      <c r="D132" s="2"/>
      <c r="E132" s="2"/>
      <c r="F132" s="2"/>
      <c r="G132" s="2"/>
      <c r="H132" s="2"/>
      <c r="I132" s="2"/>
      <c r="J132" s="2"/>
      <c r="K132" s="2"/>
      <c r="L132" s="2"/>
      <c r="M132" s="2"/>
      <c r="N132" s="2"/>
      <c r="O132" s="2"/>
      <c r="P132" s="3"/>
      <c r="Q132" s="2"/>
      <c r="R132" s="2"/>
      <c r="S132" s="2"/>
      <c r="T132" s="2"/>
      <c r="U132" s="1"/>
    </row>
    <row r="133" spans="1:21" ht="20.100000000000001" customHeight="1" x14ac:dyDescent="0.25">
      <c r="A133" s="2"/>
      <c r="B133" s="2"/>
      <c r="C133" s="2"/>
      <c r="D133" s="2"/>
      <c r="E133" s="2"/>
      <c r="F133" s="2"/>
      <c r="G133" s="2"/>
      <c r="H133" s="2"/>
      <c r="I133" s="2"/>
      <c r="J133" s="2"/>
      <c r="K133" s="2"/>
      <c r="L133" s="2"/>
      <c r="M133" s="2"/>
      <c r="N133" s="2"/>
      <c r="O133" s="2"/>
      <c r="P133" s="3"/>
      <c r="Q133" s="2"/>
      <c r="R133" s="2"/>
      <c r="S133" s="2"/>
      <c r="T133" s="2"/>
      <c r="U133" s="1"/>
    </row>
    <row r="134" spans="1:21" ht="20.100000000000001" customHeight="1" x14ac:dyDescent="0.25">
      <c r="A134" s="2"/>
      <c r="B134" s="2"/>
      <c r="C134" s="2"/>
      <c r="D134" s="2"/>
      <c r="E134" s="2"/>
      <c r="F134" s="2"/>
      <c r="G134" s="2"/>
      <c r="H134" s="2"/>
      <c r="I134" s="2"/>
      <c r="J134" s="2"/>
      <c r="K134" s="2"/>
      <c r="L134" s="2"/>
      <c r="M134" s="2"/>
      <c r="N134" s="2"/>
      <c r="O134" s="2"/>
      <c r="P134" s="3"/>
      <c r="Q134" s="2"/>
      <c r="R134" s="2"/>
      <c r="S134" s="2"/>
      <c r="T134" s="2"/>
      <c r="U134" s="1"/>
    </row>
    <row r="135" spans="1:21" ht="20.100000000000001" customHeight="1" x14ac:dyDescent="0.25">
      <c r="A135" s="2"/>
      <c r="B135" s="2"/>
      <c r="C135" s="2"/>
      <c r="D135" s="2"/>
      <c r="E135" s="2"/>
      <c r="F135" s="2"/>
      <c r="G135" s="2"/>
      <c r="H135" s="2"/>
      <c r="I135" s="2"/>
      <c r="J135" s="2"/>
      <c r="K135" s="2"/>
      <c r="L135" s="2"/>
      <c r="M135" s="2"/>
      <c r="N135" s="2"/>
      <c r="O135" s="2"/>
      <c r="P135" s="3"/>
      <c r="Q135" s="2"/>
      <c r="R135" s="2"/>
      <c r="S135" s="2"/>
      <c r="T135" s="2"/>
      <c r="U135" s="1"/>
    </row>
    <row r="136" spans="1:21" ht="20.100000000000001" customHeight="1" x14ac:dyDescent="0.25">
      <c r="A136" s="2"/>
      <c r="B136" s="2"/>
      <c r="C136" s="2"/>
      <c r="D136" s="2"/>
      <c r="E136" s="2"/>
      <c r="F136" s="2"/>
      <c r="G136" s="2"/>
      <c r="H136" s="2"/>
      <c r="I136" s="2"/>
      <c r="J136" s="2"/>
      <c r="K136" s="2"/>
      <c r="L136" s="2"/>
      <c r="M136" s="2"/>
      <c r="N136" s="2"/>
      <c r="O136" s="2"/>
      <c r="P136" s="3"/>
      <c r="Q136" s="2"/>
      <c r="R136" s="2"/>
      <c r="S136" s="2"/>
      <c r="T136" s="2"/>
      <c r="U136" s="1"/>
    </row>
    <row r="137" spans="1:21" ht="20.100000000000001" customHeight="1" x14ac:dyDescent="0.25">
      <c r="A137" s="2"/>
      <c r="B137" s="2"/>
      <c r="C137" s="2"/>
      <c r="D137" s="2"/>
      <c r="E137" s="2"/>
      <c r="F137" s="2"/>
      <c r="G137" s="2"/>
      <c r="H137" s="2"/>
      <c r="I137" s="2"/>
      <c r="J137" s="2"/>
      <c r="K137" s="2"/>
      <c r="L137" s="2"/>
      <c r="M137" s="2"/>
      <c r="N137" s="2"/>
      <c r="O137" s="2"/>
      <c r="P137" s="3"/>
      <c r="Q137" s="2"/>
      <c r="R137" s="2"/>
      <c r="S137" s="2"/>
      <c r="T137" s="2"/>
      <c r="U137" s="1"/>
    </row>
    <row r="138" spans="1:21" ht="20.100000000000001" customHeight="1" x14ac:dyDescent="0.25">
      <c r="A138" s="2"/>
      <c r="B138" s="2"/>
      <c r="C138" s="2"/>
      <c r="D138" s="2"/>
      <c r="E138" s="2"/>
      <c r="F138" s="2"/>
      <c r="G138" s="2"/>
      <c r="H138" s="2"/>
      <c r="I138" s="2"/>
      <c r="J138" s="2"/>
      <c r="K138" s="2"/>
      <c r="L138" s="2"/>
      <c r="M138" s="2"/>
      <c r="N138" s="2"/>
      <c r="O138" s="2"/>
      <c r="P138" s="3"/>
      <c r="Q138" s="2"/>
      <c r="R138" s="2"/>
      <c r="S138" s="2"/>
      <c r="T138" s="2"/>
      <c r="U138" s="1"/>
    </row>
    <row r="139" spans="1:21" ht="20.100000000000001" customHeight="1" x14ac:dyDescent="0.25">
      <c r="A139" s="2"/>
      <c r="B139" s="2"/>
      <c r="C139" s="2"/>
      <c r="D139" s="2"/>
      <c r="E139" s="2"/>
      <c r="F139" s="2"/>
      <c r="G139" s="2"/>
      <c r="H139" s="2"/>
      <c r="I139" s="2"/>
      <c r="J139" s="2"/>
      <c r="K139" s="2"/>
      <c r="L139" s="2"/>
      <c r="M139" s="2"/>
      <c r="N139" s="2"/>
      <c r="O139" s="2"/>
      <c r="P139" s="3"/>
      <c r="Q139" s="2"/>
      <c r="R139" s="2"/>
      <c r="S139" s="2"/>
      <c r="T139" s="2"/>
      <c r="U139" s="1"/>
    </row>
    <row r="140" spans="1:21" ht="20.100000000000001" customHeight="1" x14ac:dyDescent="0.25">
      <c r="A140" s="2"/>
      <c r="B140" s="2"/>
      <c r="C140" s="2"/>
      <c r="D140" s="2"/>
      <c r="E140" s="2"/>
      <c r="F140" s="2"/>
      <c r="G140" s="2"/>
      <c r="H140" s="2"/>
      <c r="I140" s="2"/>
      <c r="J140" s="2"/>
      <c r="K140" s="2"/>
      <c r="L140" s="2"/>
      <c r="M140" s="2"/>
      <c r="N140" s="2"/>
      <c r="O140" s="2"/>
      <c r="P140" s="3"/>
      <c r="Q140" s="2"/>
      <c r="R140" s="2"/>
      <c r="S140" s="2"/>
      <c r="T140" s="2"/>
      <c r="U140" s="1"/>
    </row>
    <row r="141" spans="1:21" ht="20.100000000000001" customHeight="1" x14ac:dyDescent="0.25">
      <c r="A141" s="2"/>
      <c r="B141" s="2"/>
      <c r="C141" s="2"/>
      <c r="D141" s="2"/>
      <c r="E141" s="2"/>
      <c r="F141" s="2"/>
      <c r="G141" s="2"/>
      <c r="H141" s="2"/>
      <c r="I141" s="2"/>
      <c r="J141" s="2"/>
      <c r="K141" s="2"/>
      <c r="L141" s="2"/>
      <c r="M141" s="2"/>
      <c r="N141" s="2"/>
      <c r="O141" s="2"/>
      <c r="P141" s="3"/>
      <c r="Q141" s="2"/>
      <c r="R141" s="2"/>
      <c r="S141" s="2"/>
      <c r="T141" s="2"/>
      <c r="U141" s="1"/>
    </row>
    <row r="142" spans="1:21" ht="20.100000000000001" customHeight="1" x14ac:dyDescent="0.25">
      <c r="A142" s="2"/>
      <c r="B142" s="2"/>
      <c r="C142" s="2"/>
      <c r="D142" s="2"/>
      <c r="E142" s="2"/>
      <c r="F142" s="2"/>
      <c r="G142" s="2"/>
      <c r="H142" s="2"/>
      <c r="I142" s="2"/>
      <c r="J142" s="2"/>
      <c r="K142" s="2"/>
      <c r="L142" s="2"/>
      <c r="M142" s="2"/>
      <c r="N142" s="2"/>
      <c r="O142" s="2"/>
      <c r="P142" s="3"/>
      <c r="Q142" s="2"/>
      <c r="R142" s="2"/>
      <c r="S142" s="2"/>
      <c r="T142" s="2"/>
      <c r="U142" s="1"/>
    </row>
    <row r="143" spans="1:21" ht="20.100000000000001" customHeight="1" x14ac:dyDescent="0.25">
      <c r="A143" s="2"/>
      <c r="B143" s="2"/>
      <c r="C143" s="2"/>
      <c r="D143" s="2"/>
      <c r="E143" s="2"/>
      <c r="F143" s="2"/>
      <c r="G143" s="2"/>
      <c r="H143" s="2"/>
      <c r="I143" s="2"/>
      <c r="J143" s="2"/>
      <c r="K143" s="2"/>
      <c r="L143" s="2"/>
      <c r="M143" s="2"/>
      <c r="N143" s="2"/>
      <c r="O143" s="2"/>
      <c r="P143" s="3"/>
      <c r="Q143" s="2"/>
      <c r="R143" s="2"/>
      <c r="S143" s="2"/>
      <c r="T143" s="2"/>
      <c r="U143" s="1"/>
    </row>
    <row r="144" spans="1:21" ht="20.100000000000001" customHeight="1" x14ac:dyDescent="0.25">
      <c r="A144" s="2"/>
      <c r="B144" s="2"/>
      <c r="C144" s="2"/>
      <c r="D144" s="2"/>
      <c r="E144" s="2"/>
      <c r="F144" s="2"/>
      <c r="G144" s="2"/>
      <c r="H144" s="2"/>
      <c r="I144" s="2"/>
      <c r="J144" s="2"/>
      <c r="K144" s="2"/>
      <c r="L144" s="2"/>
      <c r="M144" s="2"/>
      <c r="N144" s="2"/>
      <c r="O144" s="2"/>
      <c r="P144" s="3"/>
      <c r="Q144" s="2"/>
      <c r="R144" s="2"/>
      <c r="S144" s="2"/>
      <c r="T144" s="2"/>
      <c r="U144" s="1"/>
    </row>
    <row r="145" spans="1:21" ht="20.100000000000001" customHeight="1" x14ac:dyDescent="0.25">
      <c r="A145" s="2"/>
      <c r="B145" s="2"/>
      <c r="C145" s="2"/>
      <c r="D145" s="2"/>
      <c r="E145" s="2"/>
      <c r="F145" s="2"/>
      <c r="G145" s="2"/>
      <c r="H145" s="2"/>
      <c r="I145" s="2"/>
      <c r="J145" s="2"/>
      <c r="K145" s="2"/>
      <c r="L145" s="2"/>
      <c r="M145" s="2"/>
      <c r="N145" s="2"/>
      <c r="O145" s="2"/>
      <c r="P145" s="3"/>
      <c r="Q145" s="2"/>
      <c r="R145" s="2"/>
      <c r="S145" s="2"/>
      <c r="T145" s="2"/>
      <c r="U145" s="1"/>
    </row>
    <row r="146" spans="1:21" ht="20.100000000000001" customHeight="1" x14ac:dyDescent="0.25">
      <c r="A146" s="2"/>
      <c r="B146" s="2"/>
      <c r="C146" s="2"/>
      <c r="D146" s="2"/>
      <c r="E146" s="2"/>
      <c r="F146" s="2"/>
      <c r="G146" s="2"/>
      <c r="H146" s="2"/>
      <c r="I146" s="2"/>
      <c r="J146" s="2"/>
      <c r="K146" s="2"/>
      <c r="L146" s="2"/>
      <c r="M146" s="2"/>
      <c r="N146" s="2"/>
      <c r="O146" s="2"/>
      <c r="P146" s="3"/>
      <c r="Q146" s="2"/>
      <c r="R146" s="2"/>
      <c r="S146" s="2"/>
      <c r="T146" s="2"/>
      <c r="U146" s="1"/>
    </row>
    <row r="147" spans="1:21" ht="20.100000000000001" customHeight="1" x14ac:dyDescent="0.25">
      <c r="A147" s="2"/>
      <c r="B147" s="2"/>
      <c r="C147" s="2"/>
      <c r="D147" s="2"/>
      <c r="E147" s="2"/>
      <c r="F147" s="2"/>
      <c r="G147" s="2"/>
      <c r="H147" s="2"/>
      <c r="I147" s="2"/>
      <c r="J147" s="2"/>
      <c r="K147" s="2"/>
      <c r="L147" s="2"/>
      <c r="M147" s="2"/>
      <c r="N147" s="2"/>
      <c r="O147" s="2"/>
      <c r="P147" s="3"/>
      <c r="Q147" s="2"/>
      <c r="R147" s="2"/>
      <c r="S147" s="2"/>
      <c r="T147" s="2"/>
      <c r="U147" s="1"/>
    </row>
    <row r="148" spans="1:21" ht="20.100000000000001" customHeight="1" x14ac:dyDescent="0.25">
      <c r="A148" s="2"/>
      <c r="B148" s="2"/>
      <c r="C148" s="2"/>
      <c r="D148" s="2"/>
      <c r="E148" s="2"/>
      <c r="F148" s="2"/>
      <c r="G148" s="2"/>
      <c r="H148" s="2"/>
      <c r="I148" s="2"/>
      <c r="J148" s="2"/>
      <c r="K148" s="2"/>
      <c r="L148" s="2"/>
      <c r="M148" s="2"/>
      <c r="N148" s="2"/>
      <c r="O148" s="2"/>
      <c r="P148" s="3"/>
      <c r="Q148" s="2"/>
      <c r="R148" s="2"/>
      <c r="S148" s="2"/>
      <c r="T148" s="2"/>
      <c r="U148" s="1"/>
    </row>
    <row r="149" spans="1:21" ht="20.100000000000001" customHeight="1" x14ac:dyDescent="0.25">
      <c r="A149" s="2"/>
      <c r="B149" s="2"/>
      <c r="C149" s="2"/>
      <c r="D149" s="2"/>
      <c r="E149" s="2"/>
      <c r="F149" s="2"/>
      <c r="G149" s="2"/>
      <c r="H149" s="2"/>
      <c r="I149" s="2"/>
      <c r="J149" s="2"/>
      <c r="K149" s="2"/>
      <c r="L149" s="2"/>
      <c r="M149" s="2"/>
      <c r="N149" s="2"/>
      <c r="O149" s="2"/>
      <c r="P149" s="3"/>
      <c r="Q149" s="2"/>
      <c r="R149" s="2"/>
      <c r="S149" s="2"/>
      <c r="T149" s="2"/>
      <c r="U149" s="1"/>
    </row>
    <row r="150" spans="1:21" ht="20.100000000000001" customHeight="1" x14ac:dyDescent="0.25">
      <c r="A150" s="2"/>
      <c r="B150" s="2"/>
      <c r="C150" s="2"/>
      <c r="D150" s="2"/>
      <c r="E150" s="2"/>
      <c r="F150" s="2"/>
      <c r="G150" s="2"/>
      <c r="H150" s="2"/>
      <c r="I150" s="2"/>
      <c r="J150" s="2"/>
      <c r="K150" s="2"/>
      <c r="L150" s="2"/>
      <c r="M150" s="2"/>
      <c r="N150" s="2"/>
      <c r="O150" s="2"/>
      <c r="P150" s="3"/>
      <c r="Q150" s="2"/>
      <c r="R150" s="2"/>
      <c r="S150" s="2"/>
      <c r="T150" s="2"/>
      <c r="U150" s="1"/>
    </row>
    <row r="151" spans="1:21" ht="20.100000000000001" customHeight="1" x14ac:dyDescent="0.25">
      <c r="A151" s="2"/>
      <c r="B151" s="2"/>
      <c r="C151" s="2"/>
      <c r="D151" s="2"/>
      <c r="E151" s="2"/>
      <c r="F151" s="2"/>
      <c r="G151" s="2"/>
      <c r="H151" s="2"/>
      <c r="I151" s="2"/>
      <c r="J151" s="2"/>
      <c r="K151" s="2"/>
      <c r="L151" s="2"/>
      <c r="M151" s="2"/>
      <c r="N151" s="2"/>
      <c r="O151" s="2"/>
      <c r="P151" s="3"/>
      <c r="Q151" s="2"/>
      <c r="R151" s="2"/>
      <c r="S151" s="2"/>
      <c r="T151" s="2"/>
      <c r="U151" s="1"/>
    </row>
    <row r="152" spans="1:21" ht="20.100000000000001" customHeight="1" x14ac:dyDescent="0.25">
      <c r="A152" s="2"/>
      <c r="B152" s="2"/>
      <c r="C152" s="2"/>
      <c r="D152" s="2"/>
      <c r="E152" s="2"/>
      <c r="F152" s="2"/>
      <c r="G152" s="2"/>
      <c r="H152" s="2"/>
      <c r="I152" s="2"/>
      <c r="J152" s="2"/>
      <c r="K152" s="2"/>
      <c r="L152" s="2"/>
      <c r="M152" s="2"/>
      <c r="N152" s="2"/>
      <c r="O152" s="2"/>
      <c r="P152" s="3"/>
      <c r="Q152" s="2"/>
      <c r="R152" s="2"/>
      <c r="S152" s="2"/>
      <c r="T152" s="2"/>
      <c r="U152" s="1"/>
    </row>
    <row r="153" spans="1:21" ht="20.100000000000001" customHeight="1" x14ac:dyDescent="0.25">
      <c r="A153" s="2"/>
      <c r="B153" s="2"/>
      <c r="C153" s="2"/>
      <c r="D153" s="2"/>
      <c r="E153" s="2"/>
      <c r="F153" s="2"/>
      <c r="G153" s="2"/>
      <c r="H153" s="2"/>
      <c r="I153" s="2"/>
      <c r="J153" s="2"/>
      <c r="K153" s="2"/>
      <c r="L153" s="2"/>
      <c r="M153" s="2"/>
      <c r="N153" s="2"/>
      <c r="O153" s="2"/>
      <c r="P153" s="3"/>
      <c r="Q153" s="2"/>
      <c r="R153" s="2"/>
      <c r="S153" s="2"/>
      <c r="T153" s="2"/>
      <c r="U153" s="1"/>
    </row>
    <row r="154" spans="1:21" ht="20.100000000000001" customHeight="1" x14ac:dyDescent="0.25">
      <c r="A154" s="2"/>
      <c r="B154" s="2"/>
      <c r="C154" s="2"/>
      <c r="D154" s="2"/>
      <c r="E154" s="2"/>
      <c r="F154" s="2"/>
      <c r="G154" s="2"/>
      <c r="H154" s="2"/>
      <c r="I154" s="2"/>
      <c r="J154" s="2"/>
      <c r="K154" s="2"/>
      <c r="L154" s="2"/>
      <c r="M154" s="2"/>
      <c r="N154" s="2"/>
      <c r="O154" s="2"/>
      <c r="P154" s="3"/>
      <c r="Q154" s="2"/>
      <c r="R154" s="2"/>
      <c r="S154" s="2"/>
      <c r="T154" s="2"/>
      <c r="U154" s="1"/>
    </row>
    <row r="155" spans="1:21" ht="20.100000000000001" customHeight="1" x14ac:dyDescent="0.25">
      <c r="A155" s="2"/>
      <c r="B155" s="2"/>
      <c r="C155" s="2"/>
      <c r="D155" s="2"/>
      <c r="E155" s="2"/>
      <c r="F155" s="2"/>
      <c r="G155" s="2"/>
      <c r="H155" s="2"/>
      <c r="I155" s="2"/>
      <c r="J155" s="2"/>
      <c r="K155" s="2"/>
      <c r="L155" s="2"/>
      <c r="M155" s="2"/>
      <c r="N155" s="2"/>
      <c r="O155" s="2"/>
      <c r="P155" s="3"/>
      <c r="Q155" s="2"/>
      <c r="R155" s="2"/>
      <c r="S155" s="2"/>
      <c r="T155" s="2"/>
      <c r="U155" s="1"/>
    </row>
    <row r="156" spans="1:21" ht="20.100000000000001" customHeight="1" x14ac:dyDescent="0.25">
      <c r="A156" s="2"/>
      <c r="B156" s="2"/>
      <c r="C156" s="2"/>
      <c r="D156" s="2"/>
      <c r="E156" s="2"/>
      <c r="F156" s="2"/>
      <c r="G156" s="2"/>
      <c r="H156" s="2"/>
      <c r="I156" s="2"/>
      <c r="J156" s="2"/>
      <c r="K156" s="2"/>
      <c r="L156" s="2"/>
      <c r="M156" s="2"/>
      <c r="N156" s="2"/>
      <c r="O156" s="2"/>
      <c r="P156" s="3"/>
      <c r="Q156" s="2"/>
      <c r="R156" s="2"/>
      <c r="S156" s="2"/>
      <c r="T156" s="2"/>
      <c r="U156" s="1"/>
    </row>
    <row r="157" spans="1:21" ht="20.100000000000001" customHeight="1" x14ac:dyDescent="0.25">
      <c r="A157" s="2"/>
      <c r="B157" s="2"/>
      <c r="C157" s="2"/>
      <c r="D157" s="2"/>
      <c r="E157" s="2"/>
      <c r="F157" s="2"/>
      <c r="G157" s="2"/>
      <c r="H157" s="2"/>
      <c r="I157" s="2"/>
      <c r="J157" s="2"/>
      <c r="K157" s="2"/>
      <c r="L157" s="2"/>
      <c r="M157" s="2"/>
      <c r="N157" s="2"/>
      <c r="O157" s="2"/>
      <c r="P157" s="3"/>
      <c r="Q157" s="2"/>
      <c r="R157" s="2"/>
      <c r="S157" s="2"/>
      <c r="T157" s="2"/>
      <c r="U157" s="1"/>
    </row>
    <row r="158" spans="1:21" ht="20.100000000000001" customHeight="1" x14ac:dyDescent="0.25">
      <c r="A158" s="2"/>
      <c r="B158" s="2"/>
      <c r="C158" s="2"/>
      <c r="D158" s="2"/>
      <c r="E158" s="2"/>
      <c r="F158" s="2"/>
      <c r="G158" s="2"/>
      <c r="H158" s="2"/>
      <c r="I158" s="2"/>
      <c r="J158" s="2"/>
      <c r="K158" s="2"/>
      <c r="L158" s="2"/>
      <c r="M158" s="2"/>
      <c r="N158" s="2"/>
      <c r="O158" s="2"/>
      <c r="P158" s="3"/>
      <c r="Q158" s="2"/>
      <c r="R158" s="2"/>
      <c r="S158" s="2"/>
      <c r="T158" s="2"/>
      <c r="U158" s="1"/>
    </row>
    <row r="159" spans="1:21" ht="20.100000000000001" customHeight="1" x14ac:dyDescent="0.25">
      <c r="A159" s="2"/>
      <c r="B159" s="2"/>
      <c r="C159" s="2"/>
      <c r="D159" s="2"/>
      <c r="E159" s="2"/>
      <c r="F159" s="2"/>
      <c r="G159" s="2"/>
      <c r="H159" s="2"/>
      <c r="I159" s="2"/>
      <c r="J159" s="2"/>
      <c r="K159" s="2"/>
      <c r="L159" s="2"/>
      <c r="M159" s="2"/>
      <c r="N159" s="2"/>
      <c r="O159" s="2"/>
      <c r="P159" s="3"/>
      <c r="Q159" s="2"/>
      <c r="R159" s="2"/>
      <c r="S159" s="2"/>
      <c r="T159" s="2"/>
      <c r="U159" s="1"/>
    </row>
    <row r="160" spans="1:21" ht="20.100000000000001" customHeight="1" x14ac:dyDescent="0.25">
      <c r="A160" s="2"/>
      <c r="B160" s="2"/>
      <c r="C160" s="2"/>
      <c r="D160" s="2"/>
      <c r="E160" s="2"/>
      <c r="F160" s="2"/>
      <c r="G160" s="2"/>
      <c r="H160" s="2"/>
      <c r="I160" s="2"/>
      <c r="J160" s="2"/>
      <c r="K160" s="2"/>
      <c r="L160" s="2"/>
      <c r="M160" s="2"/>
      <c r="N160" s="2"/>
      <c r="O160" s="2"/>
      <c r="P160" s="3"/>
      <c r="Q160" s="2"/>
      <c r="R160" s="2"/>
      <c r="S160" s="2"/>
      <c r="T160" s="2"/>
      <c r="U160" s="1"/>
    </row>
    <row r="161" spans="1:21" ht="20.100000000000001" customHeight="1" x14ac:dyDescent="0.25">
      <c r="A161" s="2"/>
      <c r="B161" s="2"/>
      <c r="C161" s="2"/>
      <c r="D161" s="2"/>
      <c r="E161" s="2"/>
      <c r="F161" s="2"/>
      <c r="G161" s="2"/>
      <c r="H161" s="2"/>
      <c r="I161" s="2"/>
      <c r="J161" s="2"/>
      <c r="K161" s="2"/>
      <c r="L161" s="2"/>
      <c r="M161" s="2"/>
      <c r="N161" s="2"/>
      <c r="O161" s="2"/>
      <c r="P161" s="3"/>
      <c r="Q161" s="2"/>
      <c r="R161" s="2"/>
      <c r="S161" s="2"/>
      <c r="T161" s="2"/>
      <c r="U161" s="1"/>
    </row>
    <row r="162" spans="1:21" ht="20.100000000000001" customHeight="1" x14ac:dyDescent="0.25">
      <c r="A162" s="2"/>
      <c r="B162" s="2"/>
      <c r="C162" s="2"/>
      <c r="D162" s="2"/>
      <c r="E162" s="2"/>
      <c r="F162" s="2"/>
      <c r="G162" s="2"/>
      <c r="H162" s="2"/>
      <c r="I162" s="2"/>
      <c r="J162" s="2"/>
      <c r="K162" s="2"/>
      <c r="L162" s="2"/>
      <c r="M162" s="2"/>
      <c r="N162" s="2"/>
      <c r="O162" s="2"/>
      <c r="P162" s="3"/>
      <c r="Q162" s="2"/>
      <c r="R162" s="2"/>
      <c r="S162" s="2"/>
      <c r="T162" s="2"/>
      <c r="U162" s="1"/>
    </row>
    <row r="163" spans="1:21" ht="20.100000000000001" customHeight="1" x14ac:dyDescent="0.25">
      <c r="A163" s="2"/>
      <c r="B163" s="2"/>
      <c r="C163" s="2"/>
      <c r="D163" s="2"/>
      <c r="E163" s="2"/>
      <c r="F163" s="2"/>
      <c r="G163" s="2"/>
      <c r="H163" s="2"/>
      <c r="I163" s="2"/>
      <c r="J163" s="2"/>
      <c r="K163" s="2"/>
      <c r="L163" s="2"/>
      <c r="M163" s="2"/>
      <c r="N163" s="2"/>
      <c r="O163" s="2"/>
      <c r="P163" s="3"/>
      <c r="Q163" s="2"/>
      <c r="R163" s="2"/>
      <c r="S163" s="2"/>
      <c r="T163" s="2"/>
      <c r="U163" s="1"/>
    </row>
    <row r="164" spans="1:21" ht="20.100000000000001" customHeight="1" x14ac:dyDescent="0.25">
      <c r="A164" s="2"/>
      <c r="B164" s="2"/>
      <c r="C164" s="2"/>
      <c r="D164" s="2"/>
      <c r="E164" s="2"/>
      <c r="F164" s="2"/>
      <c r="G164" s="2"/>
      <c r="H164" s="2"/>
      <c r="I164" s="2"/>
      <c r="J164" s="2"/>
      <c r="K164" s="2"/>
      <c r="L164" s="2"/>
      <c r="M164" s="2"/>
      <c r="N164" s="2"/>
      <c r="O164" s="2"/>
      <c r="P164" s="3"/>
      <c r="Q164" s="2"/>
      <c r="R164" s="2"/>
      <c r="S164" s="2"/>
      <c r="T164" s="2"/>
      <c r="U164" s="1"/>
    </row>
    <row r="165" spans="1:21" ht="20.100000000000001" customHeight="1" x14ac:dyDescent="0.25">
      <c r="A165" s="2"/>
      <c r="B165" s="2"/>
      <c r="C165" s="2"/>
      <c r="D165" s="2"/>
      <c r="E165" s="2"/>
      <c r="F165" s="2"/>
      <c r="G165" s="2"/>
      <c r="H165" s="2"/>
      <c r="I165" s="2"/>
      <c r="J165" s="2"/>
      <c r="K165" s="2"/>
      <c r="L165" s="2"/>
      <c r="M165" s="2"/>
      <c r="N165" s="2"/>
      <c r="O165" s="2"/>
      <c r="P165" s="3"/>
      <c r="Q165" s="2"/>
      <c r="R165" s="2"/>
      <c r="S165" s="2"/>
      <c r="T165" s="2"/>
      <c r="U165" s="1"/>
    </row>
    <row r="166" spans="1:21" ht="20.100000000000001" customHeight="1" x14ac:dyDescent="0.25">
      <c r="A166" s="2"/>
      <c r="B166" s="2"/>
      <c r="C166" s="2"/>
      <c r="D166" s="2"/>
      <c r="E166" s="2"/>
      <c r="F166" s="2"/>
      <c r="G166" s="2"/>
      <c r="H166" s="2"/>
      <c r="I166" s="2"/>
      <c r="J166" s="2"/>
      <c r="K166" s="2"/>
      <c r="L166" s="2"/>
      <c r="M166" s="2"/>
      <c r="N166" s="2"/>
      <c r="O166" s="2"/>
      <c r="P166" s="3"/>
      <c r="Q166" s="2"/>
      <c r="R166" s="2"/>
      <c r="S166" s="2"/>
      <c r="T166" s="2"/>
      <c r="U166" s="1"/>
    </row>
    <row r="167" spans="1:21" ht="20.100000000000001" customHeight="1" x14ac:dyDescent="0.25">
      <c r="A167" s="2"/>
      <c r="B167" s="2"/>
      <c r="C167" s="2"/>
      <c r="D167" s="2"/>
      <c r="E167" s="2"/>
      <c r="F167" s="2"/>
      <c r="G167" s="2"/>
      <c r="H167" s="2"/>
      <c r="I167" s="2"/>
      <c r="J167" s="2"/>
      <c r="K167" s="2"/>
      <c r="L167" s="2"/>
      <c r="M167" s="2"/>
      <c r="N167" s="2"/>
      <c r="O167" s="2"/>
      <c r="P167" s="3"/>
      <c r="Q167" s="2"/>
      <c r="R167" s="2"/>
      <c r="S167" s="2"/>
      <c r="T167" s="2"/>
      <c r="U167" s="1"/>
    </row>
    <row r="168" spans="1:21" ht="20.100000000000001" customHeight="1" x14ac:dyDescent="0.25">
      <c r="A168" s="2"/>
      <c r="B168" s="2"/>
      <c r="C168" s="2"/>
      <c r="D168" s="2"/>
      <c r="E168" s="2"/>
      <c r="F168" s="2"/>
      <c r="G168" s="2"/>
      <c r="H168" s="2"/>
      <c r="I168" s="2"/>
      <c r="J168" s="2"/>
      <c r="K168" s="2"/>
      <c r="L168" s="2"/>
      <c r="M168" s="2"/>
      <c r="N168" s="2"/>
      <c r="O168" s="2"/>
      <c r="P168" s="3"/>
      <c r="Q168" s="2"/>
      <c r="R168" s="2"/>
      <c r="S168" s="2"/>
      <c r="T168" s="2"/>
      <c r="U168" s="1"/>
    </row>
    <row r="169" spans="1:21" ht="20.100000000000001" customHeight="1" x14ac:dyDescent="0.25">
      <c r="A169" s="2"/>
      <c r="B169" s="2"/>
      <c r="C169" s="2"/>
      <c r="D169" s="2"/>
      <c r="E169" s="2"/>
      <c r="F169" s="2"/>
      <c r="G169" s="2"/>
      <c r="H169" s="2"/>
      <c r="I169" s="2"/>
      <c r="J169" s="2"/>
      <c r="K169" s="2"/>
      <c r="L169" s="2"/>
      <c r="M169" s="2"/>
      <c r="N169" s="2"/>
      <c r="O169" s="2"/>
      <c r="P169" s="3"/>
      <c r="Q169" s="2"/>
      <c r="R169" s="2"/>
      <c r="S169" s="2"/>
      <c r="T169" s="2"/>
      <c r="U169" s="1"/>
    </row>
    <row r="170" spans="1:21" ht="20.100000000000001" customHeight="1" x14ac:dyDescent="0.25">
      <c r="A170" s="2"/>
      <c r="B170" s="2"/>
      <c r="C170" s="2"/>
      <c r="D170" s="2"/>
      <c r="E170" s="2"/>
      <c r="F170" s="2"/>
      <c r="G170" s="2"/>
      <c r="H170" s="2"/>
      <c r="I170" s="2"/>
      <c r="J170" s="2"/>
      <c r="K170" s="2"/>
      <c r="L170" s="2"/>
      <c r="M170" s="2"/>
      <c r="N170" s="2"/>
      <c r="O170" s="2"/>
      <c r="P170" s="3"/>
      <c r="Q170" s="2"/>
      <c r="R170" s="2"/>
      <c r="S170" s="2"/>
      <c r="T170" s="2"/>
      <c r="U170" s="1"/>
    </row>
    <row r="171" spans="1:21" ht="20.100000000000001" customHeight="1" x14ac:dyDescent="0.25">
      <c r="A171" s="2"/>
      <c r="B171" s="2"/>
      <c r="C171" s="2"/>
      <c r="D171" s="2"/>
      <c r="E171" s="2"/>
      <c r="F171" s="2"/>
      <c r="G171" s="2"/>
      <c r="H171" s="2"/>
      <c r="I171" s="2"/>
      <c r="J171" s="2"/>
      <c r="K171" s="2"/>
      <c r="L171" s="2"/>
      <c r="M171" s="2"/>
      <c r="N171" s="2"/>
      <c r="O171" s="2"/>
      <c r="P171" s="3"/>
      <c r="Q171" s="2"/>
      <c r="R171" s="2"/>
      <c r="S171" s="2"/>
      <c r="T171" s="2"/>
      <c r="U171" s="1"/>
    </row>
    <row r="172" spans="1:21" ht="20.100000000000001" customHeight="1" x14ac:dyDescent="0.25">
      <c r="A172" s="2"/>
      <c r="B172" s="2"/>
      <c r="C172" s="2"/>
      <c r="D172" s="2"/>
      <c r="E172" s="2"/>
      <c r="F172" s="2"/>
      <c r="G172" s="2"/>
      <c r="H172" s="2"/>
      <c r="I172" s="2"/>
      <c r="J172" s="2"/>
      <c r="K172" s="2"/>
      <c r="L172" s="2"/>
      <c r="M172" s="2"/>
      <c r="N172" s="2"/>
      <c r="O172" s="2"/>
      <c r="P172" s="3"/>
      <c r="Q172" s="2"/>
      <c r="R172" s="2"/>
      <c r="S172" s="2"/>
      <c r="T172" s="2"/>
      <c r="U172" s="1"/>
    </row>
    <row r="173" spans="1:21" ht="20.100000000000001" customHeight="1" x14ac:dyDescent="0.25">
      <c r="A173" s="2"/>
      <c r="B173" s="2"/>
      <c r="C173" s="2"/>
      <c r="D173" s="2"/>
      <c r="E173" s="2"/>
      <c r="F173" s="2"/>
      <c r="G173" s="2"/>
      <c r="H173" s="2"/>
      <c r="I173" s="2"/>
      <c r="J173" s="2"/>
      <c r="K173" s="2"/>
      <c r="L173" s="2"/>
      <c r="M173" s="2"/>
      <c r="N173" s="2"/>
      <c r="O173" s="2"/>
      <c r="P173" s="3"/>
      <c r="Q173" s="2"/>
      <c r="R173" s="2"/>
      <c r="S173" s="2"/>
      <c r="T173" s="2"/>
      <c r="U173" s="1"/>
    </row>
    <row r="174" spans="1:21" ht="20.100000000000001" customHeight="1" x14ac:dyDescent="0.25">
      <c r="A174" s="2"/>
      <c r="B174" s="2"/>
      <c r="C174" s="2"/>
      <c r="D174" s="2"/>
      <c r="E174" s="2"/>
      <c r="F174" s="2"/>
      <c r="G174" s="2"/>
      <c r="H174" s="2"/>
      <c r="I174" s="2"/>
      <c r="J174" s="2"/>
      <c r="K174" s="2"/>
      <c r="L174" s="2"/>
      <c r="M174" s="2"/>
      <c r="N174" s="2"/>
      <c r="O174" s="2"/>
      <c r="P174" s="3"/>
      <c r="Q174" s="2"/>
      <c r="R174" s="2"/>
      <c r="S174" s="2"/>
      <c r="T174" s="2"/>
      <c r="U174" s="1"/>
    </row>
    <row r="175" spans="1:21" ht="20.100000000000001" customHeight="1" x14ac:dyDescent="0.25">
      <c r="A175" s="2"/>
      <c r="B175" s="2"/>
      <c r="C175" s="2"/>
      <c r="D175" s="2"/>
      <c r="E175" s="2"/>
      <c r="F175" s="2"/>
      <c r="G175" s="2"/>
      <c r="H175" s="2"/>
      <c r="I175" s="2"/>
      <c r="J175" s="2"/>
      <c r="K175" s="2"/>
      <c r="L175" s="2"/>
      <c r="M175" s="2"/>
      <c r="N175" s="2"/>
      <c r="O175" s="2"/>
      <c r="P175" s="3"/>
      <c r="Q175" s="2"/>
      <c r="R175" s="2"/>
      <c r="S175" s="2"/>
      <c r="T175" s="2"/>
      <c r="U175" s="1"/>
    </row>
    <row r="176" spans="1:21" ht="20.100000000000001" customHeight="1" x14ac:dyDescent="0.25">
      <c r="A176" s="2"/>
      <c r="B176" s="2"/>
      <c r="C176" s="2"/>
      <c r="D176" s="2"/>
      <c r="E176" s="2"/>
      <c r="F176" s="2"/>
      <c r="G176" s="2"/>
      <c r="H176" s="2"/>
      <c r="I176" s="2"/>
      <c r="J176" s="2"/>
      <c r="K176" s="2"/>
      <c r="L176" s="2"/>
      <c r="M176" s="2"/>
      <c r="N176" s="2"/>
      <c r="O176" s="2"/>
      <c r="P176" s="3"/>
      <c r="Q176" s="2"/>
      <c r="R176" s="2"/>
      <c r="S176" s="2"/>
      <c r="T176" s="2"/>
      <c r="U176" s="1"/>
    </row>
    <row r="177" spans="1:21" ht="20.100000000000001" customHeight="1" x14ac:dyDescent="0.25">
      <c r="A177" s="2"/>
      <c r="B177" s="2"/>
      <c r="C177" s="2"/>
      <c r="D177" s="2"/>
      <c r="E177" s="2"/>
      <c r="F177" s="2"/>
      <c r="G177" s="2"/>
      <c r="H177" s="2"/>
      <c r="I177" s="2"/>
      <c r="J177" s="2"/>
      <c r="K177" s="2"/>
      <c r="L177" s="2"/>
      <c r="M177" s="2"/>
      <c r="N177" s="2"/>
      <c r="O177" s="2"/>
      <c r="P177" s="3"/>
      <c r="Q177" s="2"/>
      <c r="R177" s="2"/>
      <c r="S177" s="2"/>
      <c r="T177" s="2"/>
      <c r="U177" s="1"/>
    </row>
    <row r="178" spans="1:21" ht="20.100000000000001" customHeight="1" x14ac:dyDescent="0.25">
      <c r="A178" s="2"/>
      <c r="B178" s="2"/>
      <c r="C178" s="2"/>
      <c r="D178" s="2"/>
      <c r="E178" s="2"/>
      <c r="F178" s="2"/>
      <c r="G178" s="2"/>
      <c r="H178" s="2"/>
      <c r="I178" s="2"/>
      <c r="J178" s="2"/>
      <c r="K178" s="2"/>
      <c r="L178" s="2"/>
      <c r="M178" s="2"/>
      <c r="N178" s="2"/>
      <c r="O178" s="2"/>
      <c r="P178" s="3"/>
      <c r="Q178" s="2"/>
      <c r="R178" s="2"/>
      <c r="S178" s="2"/>
      <c r="T178" s="2"/>
      <c r="U178" s="1"/>
    </row>
    <row r="179" spans="1:21" ht="20.100000000000001" customHeight="1" x14ac:dyDescent="0.25">
      <c r="A179" s="2"/>
      <c r="B179" s="2"/>
      <c r="C179" s="2"/>
      <c r="D179" s="2"/>
      <c r="E179" s="2"/>
      <c r="F179" s="2"/>
      <c r="G179" s="2"/>
      <c r="H179" s="2"/>
      <c r="I179" s="2"/>
      <c r="J179" s="2"/>
      <c r="K179" s="2"/>
      <c r="L179" s="2"/>
      <c r="M179" s="2"/>
      <c r="N179" s="2"/>
      <c r="O179" s="2"/>
      <c r="P179" s="3"/>
      <c r="Q179" s="2"/>
      <c r="R179" s="2"/>
      <c r="S179" s="2"/>
      <c r="T179" s="2"/>
      <c r="U179" s="1"/>
    </row>
    <row r="180" spans="1:21" ht="20.100000000000001" customHeight="1" x14ac:dyDescent="0.25">
      <c r="A180" s="2"/>
      <c r="B180" s="2"/>
      <c r="C180" s="2"/>
      <c r="D180" s="2"/>
      <c r="E180" s="2"/>
      <c r="F180" s="2"/>
      <c r="G180" s="2"/>
      <c r="H180" s="2"/>
      <c r="I180" s="2"/>
      <c r="J180" s="2"/>
      <c r="K180" s="2"/>
      <c r="L180" s="2"/>
      <c r="M180" s="2"/>
      <c r="N180" s="2"/>
      <c r="O180" s="2"/>
      <c r="P180" s="3"/>
      <c r="Q180" s="2"/>
      <c r="R180" s="2"/>
      <c r="S180" s="2"/>
      <c r="T180" s="2"/>
      <c r="U180" s="1"/>
    </row>
    <row r="181" spans="1:21" ht="20.100000000000001" customHeight="1" x14ac:dyDescent="0.25">
      <c r="A181" s="2"/>
      <c r="B181" s="2"/>
      <c r="C181" s="2"/>
      <c r="D181" s="2"/>
      <c r="E181" s="2"/>
      <c r="F181" s="2"/>
      <c r="G181" s="2"/>
      <c r="H181" s="2"/>
      <c r="I181" s="2"/>
      <c r="J181" s="2"/>
      <c r="K181" s="2"/>
      <c r="L181" s="2"/>
      <c r="M181" s="2"/>
      <c r="N181" s="2"/>
      <c r="O181" s="2"/>
      <c r="P181" s="3"/>
      <c r="Q181" s="2"/>
      <c r="R181" s="2"/>
      <c r="S181" s="2"/>
      <c r="T181" s="2"/>
      <c r="U181" s="1"/>
    </row>
    <row r="182" spans="1:21" ht="20.100000000000001" customHeight="1" x14ac:dyDescent="0.25">
      <c r="A182" s="2"/>
      <c r="B182" s="2"/>
      <c r="C182" s="2"/>
      <c r="D182" s="2"/>
      <c r="E182" s="2"/>
      <c r="F182" s="2"/>
      <c r="G182" s="2"/>
      <c r="H182" s="2"/>
      <c r="I182" s="2"/>
      <c r="J182" s="2"/>
      <c r="K182" s="2"/>
      <c r="L182" s="2"/>
      <c r="M182" s="2"/>
      <c r="N182" s="2"/>
      <c r="O182" s="2"/>
      <c r="P182" s="3"/>
      <c r="Q182" s="2"/>
      <c r="R182" s="2"/>
      <c r="S182" s="2"/>
      <c r="T182" s="2"/>
      <c r="U182" s="1"/>
    </row>
    <row r="183" spans="1:21" ht="20.100000000000001" customHeight="1" x14ac:dyDescent="0.25">
      <c r="A183" s="2"/>
      <c r="B183" s="2"/>
      <c r="C183" s="2"/>
      <c r="D183" s="2"/>
      <c r="E183" s="2"/>
      <c r="F183" s="2"/>
      <c r="G183" s="2"/>
      <c r="H183" s="2"/>
      <c r="I183" s="2"/>
      <c r="J183" s="2"/>
      <c r="K183" s="2"/>
      <c r="L183" s="2"/>
      <c r="M183" s="2"/>
      <c r="N183" s="2"/>
      <c r="O183" s="2"/>
      <c r="P183" s="3"/>
      <c r="Q183" s="2"/>
      <c r="R183" s="2"/>
      <c r="S183" s="2"/>
      <c r="T183" s="2"/>
      <c r="U183" s="1"/>
    </row>
    <row r="184" spans="1:21" ht="20.100000000000001" customHeight="1" x14ac:dyDescent="0.25">
      <c r="A184" s="2"/>
      <c r="B184" s="2"/>
      <c r="C184" s="2"/>
      <c r="D184" s="2"/>
      <c r="E184" s="2"/>
      <c r="F184" s="2"/>
      <c r="G184" s="2"/>
      <c r="H184" s="2"/>
      <c r="I184" s="2"/>
      <c r="J184" s="2"/>
      <c r="K184" s="2"/>
      <c r="L184" s="2"/>
      <c r="M184" s="2"/>
      <c r="N184" s="2"/>
      <c r="O184" s="2"/>
      <c r="P184" s="3"/>
      <c r="Q184" s="2"/>
      <c r="R184" s="2"/>
      <c r="S184" s="2"/>
      <c r="T184" s="2"/>
      <c r="U184" s="1"/>
    </row>
    <row r="185" spans="1:21" ht="20.100000000000001" customHeight="1" x14ac:dyDescent="0.25">
      <c r="A185" s="2"/>
      <c r="B185" s="2"/>
      <c r="C185" s="2"/>
      <c r="D185" s="2"/>
      <c r="E185" s="2"/>
      <c r="F185" s="2"/>
      <c r="G185" s="2"/>
      <c r="H185" s="2"/>
      <c r="I185" s="2"/>
      <c r="J185" s="2"/>
      <c r="K185" s="2"/>
      <c r="L185" s="2"/>
      <c r="M185" s="2"/>
      <c r="N185" s="2"/>
      <c r="O185" s="2"/>
      <c r="P185" s="3"/>
      <c r="Q185" s="2"/>
      <c r="R185" s="2"/>
      <c r="S185" s="2"/>
      <c r="T185" s="2"/>
      <c r="U185" s="1"/>
    </row>
    <row r="186" spans="1:21" ht="20.100000000000001" customHeight="1" x14ac:dyDescent="0.25">
      <c r="A186" s="2"/>
      <c r="B186" s="2"/>
      <c r="C186" s="2"/>
      <c r="D186" s="2"/>
      <c r="E186" s="2"/>
      <c r="F186" s="2"/>
      <c r="G186" s="2"/>
      <c r="H186" s="2"/>
      <c r="I186" s="2"/>
      <c r="J186" s="2"/>
      <c r="K186" s="2"/>
      <c r="L186" s="2"/>
      <c r="M186" s="2"/>
      <c r="N186" s="2"/>
      <c r="O186" s="2"/>
      <c r="P186" s="3"/>
      <c r="Q186" s="2"/>
      <c r="R186" s="2"/>
      <c r="S186" s="2"/>
      <c r="T186" s="2"/>
      <c r="U186" s="1"/>
    </row>
    <row r="187" spans="1:21" ht="20.100000000000001" customHeight="1" x14ac:dyDescent="0.25">
      <c r="A187" s="2"/>
      <c r="B187" s="2"/>
      <c r="C187" s="2"/>
      <c r="D187" s="2"/>
      <c r="E187" s="2"/>
      <c r="F187" s="2"/>
      <c r="G187" s="2"/>
      <c r="H187" s="2"/>
      <c r="I187" s="2"/>
      <c r="J187" s="2"/>
      <c r="K187" s="2"/>
      <c r="L187" s="2"/>
      <c r="M187" s="2"/>
      <c r="N187" s="2"/>
      <c r="O187" s="2"/>
      <c r="P187" s="3"/>
      <c r="Q187" s="2"/>
      <c r="R187" s="2"/>
      <c r="S187" s="2"/>
      <c r="T187" s="2"/>
      <c r="U187" s="1"/>
    </row>
    <row r="188" spans="1:21" ht="20.100000000000001" customHeight="1" x14ac:dyDescent="0.25">
      <c r="A188" s="2"/>
      <c r="B188" s="2"/>
      <c r="C188" s="2"/>
      <c r="D188" s="2"/>
      <c r="E188" s="2"/>
      <c r="F188" s="2"/>
      <c r="G188" s="2"/>
      <c r="H188" s="2"/>
      <c r="I188" s="2"/>
      <c r="J188" s="2"/>
      <c r="K188" s="2"/>
      <c r="L188" s="2"/>
      <c r="M188" s="2"/>
      <c r="N188" s="2"/>
      <c r="O188" s="2"/>
      <c r="P188" s="3"/>
      <c r="Q188" s="2"/>
      <c r="R188" s="2"/>
      <c r="S188" s="2"/>
      <c r="T188" s="2"/>
      <c r="U188" s="1"/>
    </row>
    <row r="189" spans="1:21" ht="20.100000000000001" customHeight="1" x14ac:dyDescent="0.25">
      <c r="A189" s="2"/>
      <c r="B189" s="2"/>
      <c r="C189" s="2"/>
      <c r="D189" s="2"/>
      <c r="E189" s="2"/>
      <c r="F189" s="2"/>
      <c r="G189" s="2"/>
      <c r="H189" s="2"/>
      <c r="I189" s="2"/>
      <c r="J189" s="2"/>
      <c r="K189" s="2"/>
      <c r="L189" s="2"/>
      <c r="M189" s="2"/>
      <c r="N189" s="2"/>
      <c r="O189" s="2"/>
      <c r="P189" s="3"/>
      <c r="Q189" s="2"/>
      <c r="R189" s="2"/>
      <c r="S189" s="2"/>
      <c r="T189" s="2"/>
      <c r="U189" s="1"/>
    </row>
    <row r="190" spans="1:21" ht="20.100000000000001" customHeight="1" x14ac:dyDescent="0.25">
      <c r="A190" s="2"/>
      <c r="B190" s="2"/>
      <c r="C190" s="2"/>
      <c r="D190" s="2"/>
      <c r="E190" s="2"/>
      <c r="F190" s="2"/>
      <c r="G190" s="2"/>
      <c r="H190" s="2"/>
      <c r="I190" s="2"/>
      <c r="J190" s="2"/>
      <c r="K190" s="2"/>
      <c r="L190" s="2"/>
      <c r="M190" s="2"/>
      <c r="N190" s="2"/>
      <c r="O190" s="2"/>
      <c r="P190" s="3"/>
      <c r="Q190" s="2"/>
      <c r="R190" s="2"/>
      <c r="S190" s="2"/>
      <c r="T190" s="2"/>
      <c r="U190" s="1"/>
    </row>
    <row r="191" spans="1:21" ht="20.100000000000001" customHeight="1" x14ac:dyDescent="0.25">
      <c r="A191" s="2"/>
      <c r="B191" s="2"/>
      <c r="C191" s="2"/>
      <c r="D191" s="2"/>
      <c r="E191" s="2"/>
      <c r="F191" s="2"/>
      <c r="G191" s="2"/>
      <c r="H191" s="2"/>
      <c r="I191" s="2"/>
      <c r="J191" s="2"/>
      <c r="K191" s="2"/>
      <c r="L191" s="2"/>
      <c r="M191" s="2"/>
      <c r="N191" s="2"/>
      <c r="O191" s="2"/>
      <c r="P191" s="3"/>
      <c r="Q191" s="2"/>
      <c r="R191" s="2"/>
      <c r="S191" s="2"/>
      <c r="T191" s="2"/>
      <c r="U191" s="1"/>
    </row>
    <row r="192" spans="1:21" ht="20.100000000000001" customHeight="1" x14ac:dyDescent="0.25">
      <c r="A192" s="2"/>
      <c r="B192" s="2"/>
      <c r="C192" s="2"/>
      <c r="D192" s="2"/>
      <c r="E192" s="2"/>
      <c r="F192" s="2"/>
      <c r="G192" s="2"/>
      <c r="H192" s="2"/>
      <c r="I192" s="2"/>
      <c r="J192" s="2"/>
      <c r="K192" s="2"/>
      <c r="L192" s="2"/>
      <c r="M192" s="2"/>
      <c r="N192" s="2"/>
      <c r="O192" s="2"/>
      <c r="P192" s="3"/>
      <c r="Q192" s="2"/>
      <c r="R192" s="2"/>
      <c r="S192" s="2"/>
      <c r="T192" s="2"/>
      <c r="U192" s="1"/>
    </row>
    <row r="193" spans="1:21" ht="20.100000000000001" customHeight="1" x14ac:dyDescent="0.25">
      <c r="A193" s="2"/>
      <c r="B193" s="2"/>
      <c r="C193" s="2"/>
      <c r="D193" s="2"/>
      <c r="E193" s="2"/>
      <c r="F193" s="2"/>
      <c r="G193" s="2"/>
      <c r="H193" s="2"/>
      <c r="I193" s="2"/>
      <c r="J193" s="2"/>
      <c r="K193" s="2"/>
      <c r="L193" s="2"/>
      <c r="M193" s="2"/>
      <c r="N193" s="2"/>
      <c r="O193" s="2"/>
      <c r="P193" s="3"/>
      <c r="Q193" s="2"/>
      <c r="R193" s="2"/>
      <c r="S193" s="2"/>
      <c r="T193" s="2"/>
      <c r="U193" s="1"/>
    </row>
    <row r="194" spans="1:21" ht="20.100000000000001" customHeight="1" x14ac:dyDescent="0.25">
      <c r="A194" s="2"/>
      <c r="B194" s="2"/>
      <c r="C194" s="2"/>
      <c r="D194" s="2"/>
      <c r="E194" s="2"/>
      <c r="F194" s="2"/>
      <c r="G194" s="2"/>
      <c r="H194" s="2"/>
      <c r="I194" s="2"/>
      <c r="J194" s="2"/>
      <c r="K194" s="2"/>
      <c r="L194" s="2"/>
      <c r="M194" s="2"/>
      <c r="N194" s="2"/>
      <c r="O194" s="2"/>
      <c r="P194" s="3"/>
      <c r="Q194" s="2"/>
      <c r="R194" s="2"/>
      <c r="S194" s="2"/>
      <c r="T194" s="2"/>
      <c r="U194" s="1"/>
    </row>
    <row r="195" spans="1:21" ht="20.100000000000001" customHeight="1" x14ac:dyDescent="0.25">
      <c r="A195" s="2"/>
      <c r="B195" s="2"/>
      <c r="C195" s="2"/>
      <c r="D195" s="2"/>
      <c r="E195" s="2"/>
      <c r="F195" s="2"/>
      <c r="G195" s="2"/>
      <c r="H195" s="2"/>
      <c r="I195" s="2"/>
      <c r="J195" s="2"/>
      <c r="K195" s="2"/>
      <c r="L195" s="2"/>
      <c r="M195" s="2"/>
      <c r="N195" s="2"/>
      <c r="O195" s="2"/>
      <c r="P195" s="3"/>
      <c r="Q195" s="2"/>
      <c r="R195" s="2"/>
      <c r="S195" s="2"/>
      <c r="T195" s="2"/>
      <c r="U195" s="1"/>
    </row>
    <row r="196" spans="1:21" ht="20.100000000000001" customHeight="1" x14ac:dyDescent="0.25">
      <c r="A196" s="2"/>
      <c r="B196" s="2"/>
      <c r="C196" s="2"/>
      <c r="D196" s="2"/>
      <c r="E196" s="2"/>
      <c r="F196" s="2"/>
      <c r="G196" s="2"/>
      <c r="H196" s="2"/>
      <c r="I196" s="2"/>
      <c r="J196" s="2"/>
      <c r="K196" s="2"/>
      <c r="L196" s="2"/>
      <c r="M196" s="2"/>
      <c r="N196" s="2"/>
      <c r="O196" s="2"/>
      <c r="P196" s="3"/>
      <c r="Q196" s="2"/>
      <c r="R196" s="2"/>
      <c r="S196" s="2"/>
      <c r="T196" s="2"/>
      <c r="U196" s="1"/>
    </row>
    <row r="197" spans="1:21" ht="20.100000000000001" customHeight="1" x14ac:dyDescent="0.25">
      <c r="A197" s="2"/>
      <c r="B197" s="2"/>
      <c r="C197" s="2"/>
      <c r="D197" s="2"/>
      <c r="E197" s="2"/>
      <c r="F197" s="2"/>
      <c r="G197" s="2"/>
      <c r="H197" s="2"/>
      <c r="I197" s="2"/>
      <c r="J197" s="2"/>
      <c r="K197" s="2"/>
      <c r="L197" s="2"/>
      <c r="M197" s="2"/>
      <c r="N197" s="2"/>
      <c r="O197" s="2"/>
      <c r="P197" s="3"/>
      <c r="Q197" s="2"/>
      <c r="R197" s="2"/>
      <c r="S197" s="2"/>
      <c r="T197" s="2"/>
      <c r="U197" s="1"/>
    </row>
    <row r="198" spans="1:21" ht="20.100000000000001" customHeight="1" x14ac:dyDescent="0.25">
      <c r="A198" s="2"/>
      <c r="B198" s="2"/>
      <c r="C198" s="2"/>
      <c r="D198" s="2"/>
      <c r="E198" s="2"/>
      <c r="F198" s="2"/>
      <c r="G198" s="2"/>
      <c r="H198" s="2"/>
      <c r="I198" s="2"/>
      <c r="J198" s="2"/>
      <c r="K198" s="2"/>
      <c r="L198" s="2"/>
      <c r="M198" s="2"/>
      <c r="N198" s="2"/>
      <c r="O198" s="2"/>
      <c r="P198" s="3"/>
      <c r="Q198" s="2"/>
      <c r="R198" s="2"/>
      <c r="S198" s="2"/>
      <c r="T198" s="2"/>
      <c r="U198" s="1"/>
    </row>
    <row r="199" spans="1:21" ht="20.100000000000001" customHeight="1" x14ac:dyDescent="0.25">
      <c r="A199" s="2"/>
      <c r="B199" s="2"/>
      <c r="C199" s="2"/>
      <c r="D199" s="2"/>
      <c r="E199" s="2"/>
      <c r="F199" s="2"/>
      <c r="G199" s="2"/>
      <c r="H199" s="2"/>
      <c r="I199" s="2"/>
      <c r="J199" s="2"/>
      <c r="K199" s="2"/>
      <c r="L199" s="2"/>
      <c r="M199" s="2"/>
      <c r="N199" s="2"/>
      <c r="O199" s="2"/>
      <c r="P199" s="3"/>
      <c r="Q199" s="2"/>
      <c r="R199" s="2"/>
      <c r="S199" s="2"/>
      <c r="T199" s="2"/>
      <c r="U199" s="1"/>
    </row>
    <row r="200" spans="1:21" ht="20.100000000000001" customHeight="1" x14ac:dyDescent="0.25">
      <c r="A200" s="2"/>
      <c r="B200" s="2"/>
      <c r="C200" s="2"/>
      <c r="D200" s="2"/>
      <c r="E200" s="2"/>
      <c r="F200" s="2"/>
      <c r="G200" s="2"/>
      <c r="H200" s="2"/>
      <c r="I200" s="2"/>
      <c r="J200" s="2"/>
      <c r="K200" s="2"/>
      <c r="L200" s="2"/>
      <c r="M200" s="2"/>
      <c r="N200" s="2"/>
      <c r="O200" s="2"/>
      <c r="P200" s="3"/>
      <c r="Q200" s="2"/>
      <c r="R200" s="2"/>
      <c r="S200" s="2"/>
      <c r="T200" s="2"/>
      <c r="U200" s="1"/>
    </row>
    <row r="201" spans="1:21" ht="20.100000000000001" customHeight="1" x14ac:dyDescent="0.25">
      <c r="A201" s="2"/>
      <c r="B201" s="2"/>
      <c r="C201" s="2"/>
      <c r="D201" s="2"/>
      <c r="E201" s="2"/>
      <c r="F201" s="2"/>
      <c r="G201" s="2"/>
      <c r="H201" s="2"/>
      <c r="I201" s="2"/>
      <c r="J201" s="2"/>
      <c r="K201" s="2"/>
      <c r="L201" s="2"/>
      <c r="M201" s="2"/>
      <c r="N201" s="2"/>
      <c r="O201" s="2"/>
      <c r="P201" s="3"/>
      <c r="Q201" s="2"/>
      <c r="R201" s="2"/>
      <c r="S201" s="2"/>
      <c r="T201" s="2"/>
      <c r="U201" s="1"/>
    </row>
    <row r="202" spans="1:21" ht="20.100000000000001" customHeight="1" x14ac:dyDescent="0.25">
      <c r="A202" s="2"/>
      <c r="B202" s="2"/>
      <c r="C202" s="2"/>
      <c r="D202" s="2"/>
      <c r="E202" s="2"/>
      <c r="F202" s="2"/>
      <c r="G202" s="2"/>
      <c r="H202" s="2"/>
      <c r="I202" s="2"/>
      <c r="J202" s="2"/>
      <c r="K202" s="2"/>
      <c r="L202" s="2"/>
      <c r="M202" s="2"/>
      <c r="N202" s="2"/>
      <c r="O202" s="2"/>
      <c r="P202" s="3"/>
      <c r="Q202" s="2"/>
      <c r="R202" s="2"/>
      <c r="S202" s="2"/>
      <c r="T202" s="2"/>
      <c r="U202" s="1"/>
    </row>
    <row r="203" spans="1:21" ht="20.100000000000001" customHeight="1" x14ac:dyDescent="0.25">
      <c r="A203" s="2"/>
      <c r="B203" s="2"/>
      <c r="C203" s="2"/>
      <c r="D203" s="2"/>
      <c r="E203" s="2"/>
      <c r="F203" s="2"/>
      <c r="G203" s="2"/>
      <c r="H203" s="2"/>
      <c r="I203" s="2"/>
      <c r="J203" s="2"/>
      <c r="K203" s="2"/>
      <c r="L203" s="2"/>
      <c r="M203" s="2"/>
      <c r="N203" s="2"/>
      <c r="O203" s="2"/>
      <c r="P203" s="3"/>
      <c r="Q203" s="2"/>
      <c r="R203" s="2"/>
      <c r="S203" s="2"/>
      <c r="T203" s="2"/>
      <c r="U203" s="1"/>
    </row>
    <row r="204" spans="1:21" ht="20.100000000000001" customHeight="1" x14ac:dyDescent="0.25">
      <c r="A204" s="2"/>
      <c r="B204" s="2"/>
      <c r="C204" s="2"/>
      <c r="D204" s="2"/>
      <c r="E204" s="2"/>
      <c r="F204" s="2"/>
      <c r="G204" s="2"/>
      <c r="H204" s="2"/>
      <c r="I204" s="2"/>
      <c r="J204" s="2"/>
      <c r="K204" s="2"/>
      <c r="L204" s="2"/>
      <c r="M204" s="2"/>
      <c r="N204" s="2"/>
      <c r="O204" s="2"/>
      <c r="P204" s="3"/>
      <c r="Q204" s="2"/>
      <c r="R204" s="2"/>
      <c r="S204" s="2"/>
      <c r="T204" s="2"/>
      <c r="U204" s="1"/>
    </row>
    <row r="205" spans="1:21" ht="20.100000000000001" customHeight="1" x14ac:dyDescent="0.25">
      <c r="A205" s="2"/>
      <c r="B205" s="2"/>
      <c r="C205" s="2"/>
      <c r="D205" s="2"/>
      <c r="E205" s="2"/>
      <c r="F205" s="2"/>
      <c r="G205" s="2"/>
      <c r="H205" s="2"/>
      <c r="I205" s="2"/>
      <c r="J205" s="2"/>
      <c r="K205" s="2"/>
      <c r="L205" s="2"/>
      <c r="M205" s="2"/>
      <c r="N205" s="2"/>
      <c r="O205" s="2"/>
      <c r="P205" s="3"/>
      <c r="Q205" s="2"/>
      <c r="R205" s="2"/>
      <c r="S205" s="2"/>
      <c r="T205" s="2"/>
      <c r="U205" s="1"/>
    </row>
    <row r="206" spans="1:21" ht="20.100000000000001" customHeight="1" x14ac:dyDescent="0.25">
      <c r="A206" s="2"/>
      <c r="B206" s="2"/>
      <c r="C206" s="2"/>
      <c r="D206" s="2"/>
      <c r="E206" s="2"/>
      <c r="F206" s="2"/>
      <c r="G206" s="2"/>
      <c r="H206" s="2"/>
      <c r="I206" s="2"/>
      <c r="J206" s="2"/>
      <c r="K206" s="2"/>
      <c r="L206" s="2"/>
      <c r="M206" s="2"/>
      <c r="N206" s="2"/>
      <c r="O206" s="2"/>
      <c r="P206" s="3"/>
      <c r="Q206" s="2"/>
      <c r="R206" s="2"/>
      <c r="S206" s="2"/>
      <c r="T206" s="2"/>
      <c r="U206" s="1"/>
    </row>
    <row r="207" spans="1:21" ht="20.100000000000001" customHeight="1" x14ac:dyDescent="0.25">
      <c r="A207" s="2"/>
      <c r="B207" s="2"/>
      <c r="C207" s="2"/>
      <c r="D207" s="2"/>
      <c r="E207" s="2"/>
      <c r="F207" s="2"/>
      <c r="G207" s="2"/>
      <c r="H207" s="2"/>
      <c r="I207" s="2"/>
      <c r="J207" s="2"/>
      <c r="K207" s="2"/>
      <c r="L207" s="2"/>
      <c r="M207" s="2"/>
      <c r="N207" s="2"/>
      <c r="O207" s="2"/>
      <c r="P207" s="3"/>
      <c r="Q207" s="2"/>
      <c r="R207" s="2"/>
      <c r="S207" s="2"/>
      <c r="T207" s="2"/>
      <c r="U207" s="1"/>
    </row>
    <row r="208" spans="1:21" ht="20.100000000000001" customHeight="1" x14ac:dyDescent="0.25">
      <c r="A208" s="2"/>
      <c r="B208" s="2"/>
      <c r="C208" s="2"/>
      <c r="D208" s="2"/>
      <c r="E208" s="2"/>
      <c r="F208" s="2"/>
      <c r="G208" s="2"/>
      <c r="H208" s="2"/>
      <c r="I208" s="2"/>
      <c r="J208" s="2"/>
      <c r="K208" s="2"/>
      <c r="L208" s="2"/>
      <c r="M208" s="2"/>
      <c r="N208" s="2"/>
      <c r="O208" s="2"/>
      <c r="P208" s="3"/>
      <c r="Q208" s="2"/>
      <c r="R208" s="2"/>
      <c r="S208" s="2"/>
      <c r="T208" s="2"/>
      <c r="U208" s="1"/>
    </row>
    <row r="209" spans="1:21" ht="20.100000000000001" customHeight="1" x14ac:dyDescent="0.25">
      <c r="A209" s="2"/>
      <c r="B209" s="2"/>
      <c r="C209" s="2"/>
      <c r="D209" s="2"/>
      <c r="E209" s="2"/>
      <c r="F209" s="2"/>
      <c r="G209" s="2"/>
      <c r="H209" s="2"/>
      <c r="I209" s="2"/>
      <c r="J209" s="2"/>
      <c r="K209" s="2"/>
      <c r="L209" s="2"/>
      <c r="M209" s="2"/>
      <c r="N209" s="2"/>
      <c r="O209" s="2"/>
      <c r="P209" s="3"/>
      <c r="Q209" s="2"/>
      <c r="R209" s="2"/>
      <c r="S209" s="2"/>
      <c r="T209" s="2"/>
      <c r="U209" s="1"/>
    </row>
    <row r="210" spans="1:21" ht="20.100000000000001" customHeight="1" x14ac:dyDescent="0.25">
      <c r="A210" s="2"/>
      <c r="B210" s="2"/>
      <c r="C210" s="2"/>
      <c r="D210" s="2"/>
      <c r="E210" s="2"/>
      <c r="F210" s="2"/>
      <c r="G210" s="2"/>
      <c r="H210" s="2"/>
      <c r="I210" s="2"/>
      <c r="J210" s="2"/>
      <c r="K210" s="2"/>
      <c r="L210" s="2"/>
      <c r="M210" s="2"/>
      <c r="N210" s="2"/>
      <c r="O210" s="2"/>
      <c r="P210" s="3"/>
      <c r="Q210" s="2"/>
      <c r="R210" s="2"/>
      <c r="S210" s="2"/>
      <c r="T210" s="2"/>
      <c r="U210" s="1"/>
    </row>
    <row r="211" spans="1:21" ht="20.100000000000001" customHeight="1" x14ac:dyDescent="0.25">
      <c r="A211" s="2"/>
      <c r="B211" s="2"/>
      <c r="C211" s="2"/>
      <c r="D211" s="2"/>
      <c r="E211" s="2"/>
      <c r="F211" s="2"/>
      <c r="G211" s="2"/>
      <c r="H211" s="2"/>
      <c r="I211" s="2"/>
      <c r="J211" s="2"/>
      <c r="K211" s="2"/>
      <c r="L211" s="2"/>
      <c r="M211" s="2"/>
      <c r="N211" s="2"/>
      <c r="O211" s="2"/>
      <c r="P211" s="3"/>
      <c r="Q211" s="2"/>
      <c r="R211" s="2"/>
      <c r="S211" s="2"/>
      <c r="T211" s="2"/>
      <c r="U211" s="1"/>
    </row>
    <row r="212" spans="1:21" ht="20.100000000000001" customHeight="1" x14ac:dyDescent="0.25">
      <c r="A212" s="2"/>
      <c r="B212" s="2"/>
      <c r="C212" s="2"/>
      <c r="D212" s="2"/>
      <c r="E212" s="2"/>
      <c r="F212" s="2"/>
      <c r="G212" s="2"/>
      <c r="H212" s="2"/>
      <c r="I212" s="2"/>
      <c r="J212" s="2"/>
      <c r="K212" s="2"/>
      <c r="L212" s="2"/>
      <c r="M212" s="2"/>
      <c r="N212" s="2"/>
      <c r="O212" s="2"/>
      <c r="P212" s="3"/>
      <c r="Q212" s="2"/>
      <c r="R212" s="2"/>
      <c r="S212" s="2"/>
      <c r="T212" s="2"/>
      <c r="U212" s="1"/>
    </row>
    <row r="213" spans="1:21" ht="20.100000000000001" customHeight="1" x14ac:dyDescent="0.25">
      <c r="A213" s="2"/>
      <c r="B213" s="2"/>
      <c r="C213" s="2"/>
      <c r="D213" s="2"/>
      <c r="E213" s="2"/>
      <c r="F213" s="2"/>
      <c r="G213" s="2"/>
      <c r="H213" s="2"/>
      <c r="I213" s="2"/>
      <c r="J213" s="2"/>
      <c r="K213" s="2"/>
      <c r="L213" s="2"/>
      <c r="M213" s="2"/>
      <c r="N213" s="2"/>
      <c r="O213" s="2"/>
      <c r="P213" s="3"/>
      <c r="Q213" s="2"/>
      <c r="R213" s="2"/>
      <c r="S213" s="2"/>
      <c r="T213" s="2"/>
      <c r="U213" s="1"/>
    </row>
    <row r="214" spans="1:21" ht="20.100000000000001" customHeight="1" x14ac:dyDescent="0.25">
      <c r="A214" s="2"/>
      <c r="B214" s="2"/>
      <c r="C214" s="2"/>
      <c r="D214" s="2"/>
      <c r="E214" s="2"/>
      <c r="F214" s="2"/>
      <c r="G214" s="2"/>
      <c r="H214" s="2"/>
      <c r="I214" s="2"/>
      <c r="J214" s="2"/>
      <c r="K214" s="2"/>
      <c r="L214" s="2"/>
      <c r="M214" s="2"/>
      <c r="N214" s="2"/>
      <c r="O214" s="2"/>
      <c r="P214" s="3"/>
      <c r="Q214" s="2"/>
      <c r="R214" s="2"/>
      <c r="S214" s="2"/>
      <c r="T214" s="2"/>
      <c r="U214" s="1"/>
    </row>
    <row r="215" spans="1:21" ht="20.100000000000001" customHeight="1" x14ac:dyDescent="0.25">
      <c r="A215" s="2"/>
      <c r="B215" s="2"/>
      <c r="C215" s="2"/>
      <c r="D215" s="2"/>
      <c r="E215" s="2"/>
      <c r="F215" s="2"/>
      <c r="G215" s="2"/>
      <c r="H215" s="2"/>
      <c r="I215" s="2"/>
      <c r="J215" s="2"/>
      <c r="K215" s="2"/>
      <c r="L215" s="2"/>
      <c r="M215" s="2"/>
      <c r="N215" s="2"/>
      <c r="O215" s="2"/>
      <c r="P215" s="3"/>
      <c r="Q215" s="2"/>
      <c r="R215" s="2"/>
      <c r="S215" s="2"/>
      <c r="T215" s="2"/>
      <c r="U215" s="1"/>
    </row>
    <row r="216" spans="1:21" ht="20.100000000000001" customHeight="1" x14ac:dyDescent="0.25">
      <c r="A216" s="2"/>
      <c r="B216" s="2"/>
      <c r="C216" s="2"/>
      <c r="D216" s="2"/>
      <c r="E216" s="2"/>
      <c r="F216" s="2"/>
      <c r="G216" s="2"/>
      <c r="H216" s="2"/>
      <c r="I216" s="2"/>
      <c r="J216" s="2"/>
      <c r="K216" s="2"/>
      <c r="L216" s="2"/>
      <c r="M216" s="2"/>
      <c r="N216" s="2"/>
      <c r="O216" s="2"/>
      <c r="P216" s="3"/>
      <c r="Q216" s="2"/>
      <c r="R216" s="2"/>
      <c r="S216" s="2"/>
      <c r="T216" s="2"/>
      <c r="U216" s="1"/>
    </row>
    <row r="217" spans="1:21" ht="20.100000000000001" customHeight="1" x14ac:dyDescent="0.25">
      <c r="A217" s="2"/>
      <c r="B217" s="2"/>
      <c r="C217" s="2"/>
      <c r="D217" s="2"/>
      <c r="E217" s="2"/>
      <c r="F217" s="2"/>
      <c r="G217" s="2"/>
      <c r="H217" s="2"/>
      <c r="I217" s="2"/>
      <c r="J217" s="2"/>
      <c r="K217" s="2"/>
      <c r="L217" s="2"/>
      <c r="M217" s="2"/>
      <c r="N217" s="2"/>
      <c r="O217" s="2"/>
      <c r="P217" s="3"/>
      <c r="Q217" s="2"/>
      <c r="R217" s="2"/>
      <c r="S217" s="2"/>
      <c r="T217" s="2"/>
      <c r="U217" s="1"/>
    </row>
    <row r="218" spans="1:21" ht="20.100000000000001" customHeight="1" x14ac:dyDescent="0.25">
      <c r="A218" s="2"/>
      <c r="B218" s="2"/>
      <c r="C218" s="2"/>
      <c r="D218" s="2"/>
      <c r="E218" s="2"/>
      <c r="F218" s="2"/>
      <c r="G218" s="2"/>
      <c r="H218" s="2"/>
      <c r="I218" s="2"/>
      <c r="J218" s="2"/>
      <c r="K218" s="2"/>
      <c r="L218" s="2"/>
      <c r="M218" s="2"/>
      <c r="N218" s="2"/>
      <c r="O218" s="2"/>
      <c r="P218" s="3"/>
      <c r="Q218" s="2"/>
      <c r="R218" s="2"/>
      <c r="S218" s="2"/>
      <c r="T218" s="2"/>
      <c r="U218" s="1"/>
    </row>
    <row r="219" spans="1:21" ht="20.100000000000001" customHeight="1" x14ac:dyDescent="0.25">
      <c r="A219" s="2"/>
      <c r="B219" s="2"/>
      <c r="C219" s="2"/>
      <c r="D219" s="2"/>
      <c r="E219" s="2"/>
      <c r="F219" s="2"/>
      <c r="G219" s="2"/>
      <c r="H219" s="2"/>
      <c r="I219" s="2"/>
      <c r="J219" s="2"/>
      <c r="K219" s="2"/>
      <c r="L219" s="2"/>
      <c r="M219" s="2"/>
      <c r="N219" s="2"/>
      <c r="O219" s="2"/>
      <c r="P219" s="3"/>
      <c r="Q219" s="2"/>
      <c r="R219" s="2"/>
      <c r="S219" s="2"/>
      <c r="T219" s="2"/>
      <c r="U219" s="1"/>
    </row>
    <row r="220" spans="1:21" ht="20.100000000000001" customHeight="1" x14ac:dyDescent="0.25">
      <c r="A220" s="2"/>
      <c r="B220" s="2"/>
      <c r="C220" s="2"/>
      <c r="D220" s="2"/>
      <c r="E220" s="2"/>
      <c r="F220" s="2"/>
      <c r="G220" s="2"/>
      <c r="H220" s="2"/>
      <c r="I220" s="2"/>
      <c r="J220" s="2"/>
      <c r="K220" s="2"/>
      <c r="L220" s="2"/>
      <c r="M220" s="2"/>
      <c r="N220" s="2"/>
      <c r="O220" s="2"/>
      <c r="P220" s="3"/>
      <c r="Q220" s="2"/>
      <c r="R220" s="2"/>
      <c r="S220" s="2"/>
      <c r="T220" s="2"/>
      <c r="U220" s="1"/>
    </row>
    <row r="221" spans="1:21" ht="20.100000000000001" customHeight="1" x14ac:dyDescent="0.25">
      <c r="A221" s="2"/>
      <c r="B221" s="2"/>
      <c r="C221" s="2"/>
      <c r="D221" s="2"/>
      <c r="E221" s="2"/>
      <c r="F221" s="2"/>
      <c r="G221" s="2"/>
      <c r="H221" s="2"/>
      <c r="I221" s="2"/>
      <c r="J221" s="2"/>
      <c r="K221" s="2"/>
      <c r="L221" s="2"/>
      <c r="M221" s="2"/>
      <c r="N221" s="2"/>
      <c r="O221" s="2"/>
      <c r="P221" s="3"/>
      <c r="Q221" s="2"/>
      <c r="R221" s="2"/>
      <c r="S221" s="2"/>
      <c r="T221" s="2"/>
      <c r="U221" s="1"/>
    </row>
    <row r="222" spans="1:21" ht="20.100000000000001" customHeight="1" x14ac:dyDescent="0.25">
      <c r="A222" s="2"/>
      <c r="B222" s="2"/>
      <c r="C222" s="2"/>
      <c r="D222" s="2"/>
      <c r="E222" s="2"/>
      <c r="F222" s="2"/>
      <c r="G222" s="2"/>
      <c r="H222" s="2"/>
      <c r="I222" s="2"/>
      <c r="J222" s="2"/>
      <c r="K222" s="2"/>
      <c r="L222" s="2"/>
      <c r="M222" s="2"/>
      <c r="N222" s="2"/>
      <c r="O222" s="2"/>
      <c r="P222" s="3"/>
      <c r="Q222" s="2"/>
      <c r="R222" s="2"/>
      <c r="S222" s="2"/>
      <c r="T222" s="2"/>
      <c r="U222" s="1"/>
    </row>
    <row r="223" spans="1:21" ht="20.100000000000001" customHeight="1" x14ac:dyDescent="0.25">
      <c r="A223" s="2"/>
      <c r="B223" s="2"/>
      <c r="C223" s="2"/>
      <c r="D223" s="2"/>
      <c r="E223" s="2"/>
      <c r="F223" s="2"/>
      <c r="G223" s="2"/>
      <c r="H223" s="2"/>
      <c r="I223" s="2"/>
      <c r="J223" s="2"/>
      <c r="K223" s="2"/>
      <c r="L223" s="2"/>
      <c r="M223" s="2"/>
      <c r="N223" s="2"/>
      <c r="O223" s="2"/>
      <c r="P223" s="3"/>
      <c r="Q223" s="2"/>
      <c r="R223" s="2"/>
      <c r="S223" s="2"/>
      <c r="T223" s="2"/>
      <c r="U223" s="1"/>
    </row>
    <row r="224" spans="1:21" ht="20.100000000000001" customHeight="1" x14ac:dyDescent="0.25">
      <c r="A224" s="2"/>
      <c r="B224" s="2"/>
      <c r="C224" s="2"/>
      <c r="D224" s="2"/>
      <c r="E224" s="2"/>
      <c r="F224" s="2"/>
      <c r="G224" s="2"/>
      <c r="H224" s="2"/>
      <c r="I224" s="2"/>
      <c r="J224" s="2"/>
      <c r="K224" s="2"/>
      <c r="L224" s="2"/>
      <c r="M224" s="2"/>
      <c r="N224" s="2"/>
      <c r="O224" s="2"/>
      <c r="P224" s="3"/>
      <c r="Q224" s="2"/>
      <c r="R224" s="2"/>
      <c r="S224" s="2"/>
      <c r="T224" s="2"/>
      <c r="U224" s="1"/>
    </row>
    <row r="225" spans="1:21" ht="20.100000000000001" customHeight="1" x14ac:dyDescent="0.25">
      <c r="A225" s="2"/>
      <c r="B225" s="2"/>
      <c r="C225" s="2"/>
      <c r="D225" s="2"/>
      <c r="E225" s="2"/>
      <c r="F225" s="2"/>
      <c r="G225" s="2"/>
      <c r="H225" s="2"/>
      <c r="I225" s="2"/>
      <c r="J225" s="2"/>
      <c r="K225" s="2"/>
      <c r="L225" s="2"/>
      <c r="M225" s="2"/>
      <c r="N225" s="2"/>
      <c r="O225" s="2"/>
      <c r="P225" s="3"/>
      <c r="Q225" s="2"/>
      <c r="R225" s="2"/>
      <c r="S225" s="2"/>
      <c r="T225" s="2"/>
      <c r="U225" s="1"/>
    </row>
    <row r="226" spans="1:21" ht="20.100000000000001" customHeight="1" x14ac:dyDescent="0.25">
      <c r="A226" s="2"/>
      <c r="B226" s="2"/>
      <c r="C226" s="2"/>
      <c r="D226" s="2"/>
      <c r="E226" s="2"/>
      <c r="F226" s="2"/>
      <c r="G226" s="2"/>
      <c r="H226" s="2"/>
      <c r="I226" s="2"/>
      <c r="J226" s="2"/>
      <c r="K226" s="2"/>
      <c r="L226" s="2"/>
      <c r="M226" s="2"/>
      <c r="N226" s="2"/>
      <c r="O226" s="2"/>
      <c r="P226" s="3"/>
      <c r="Q226" s="2"/>
      <c r="R226" s="2"/>
      <c r="S226" s="2"/>
      <c r="T226" s="2"/>
      <c r="U226" s="1"/>
    </row>
    <row r="227" spans="1:21" ht="20.100000000000001" customHeight="1" x14ac:dyDescent="0.25">
      <c r="A227" s="2"/>
      <c r="B227" s="2"/>
      <c r="C227" s="2"/>
      <c r="D227" s="2"/>
      <c r="E227" s="2"/>
      <c r="F227" s="2"/>
      <c r="G227" s="2"/>
      <c r="H227" s="2"/>
      <c r="I227" s="2"/>
      <c r="J227" s="2"/>
      <c r="K227" s="2"/>
      <c r="L227" s="2"/>
      <c r="M227" s="2"/>
      <c r="N227" s="2"/>
      <c r="O227" s="2"/>
      <c r="P227" s="3"/>
      <c r="Q227" s="2"/>
      <c r="R227" s="2"/>
      <c r="S227" s="2"/>
      <c r="T227" s="2"/>
      <c r="U227" s="1"/>
    </row>
    <row r="228" spans="1:21" ht="20.100000000000001" customHeight="1" x14ac:dyDescent="0.25">
      <c r="A228" s="2"/>
      <c r="B228" s="2"/>
      <c r="C228" s="2"/>
      <c r="D228" s="2"/>
      <c r="E228" s="2"/>
      <c r="F228" s="2"/>
      <c r="G228" s="2"/>
      <c r="H228" s="2"/>
      <c r="I228" s="2"/>
      <c r="J228" s="2"/>
      <c r="K228" s="2"/>
      <c r="L228" s="2"/>
      <c r="M228" s="2"/>
      <c r="N228" s="2"/>
      <c r="O228" s="2"/>
      <c r="P228" s="3"/>
      <c r="Q228" s="2"/>
      <c r="R228" s="2"/>
      <c r="S228" s="2"/>
      <c r="T228" s="2"/>
      <c r="U228" s="1"/>
    </row>
    <row r="229" spans="1:21" ht="20.100000000000001" customHeight="1" x14ac:dyDescent="0.25">
      <c r="A229" s="2"/>
      <c r="B229" s="2"/>
      <c r="C229" s="2"/>
      <c r="D229" s="2"/>
      <c r="E229" s="2"/>
      <c r="F229" s="2"/>
      <c r="G229" s="2"/>
      <c r="H229" s="2"/>
      <c r="I229" s="2"/>
      <c r="J229" s="2"/>
      <c r="K229" s="2"/>
      <c r="L229" s="2"/>
      <c r="M229" s="2"/>
      <c r="N229" s="2"/>
      <c r="O229" s="2"/>
      <c r="P229" s="3"/>
      <c r="Q229" s="2"/>
      <c r="R229" s="2"/>
      <c r="S229" s="2"/>
      <c r="T229" s="2"/>
      <c r="U229" s="1"/>
    </row>
    <row r="230" spans="1:21" ht="20.100000000000001" customHeight="1" x14ac:dyDescent="0.25">
      <c r="A230" s="2"/>
      <c r="B230" s="2"/>
      <c r="C230" s="2"/>
      <c r="D230" s="2"/>
      <c r="E230" s="2"/>
      <c r="F230" s="2"/>
      <c r="G230" s="2"/>
      <c r="H230" s="2"/>
      <c r="I230" s="2"/>
      <c r="J230" s="2"/>
      <c r="K230" s="2"/>
      <c r="L230" s="2"/>
      <c r="M230" s="2"/>
      <c r="N230" s="2"/>
      <c r="O230" s="2"/>
      <c r="P230" s="3"/>
      <c r="Q230" s="2"/>
      <c r="R230" s="2"/>
      <c r="S230" s="2"/>
      <c r="T230" s="2"/>
      <c r="U230" s="1"/>
    </row>
    <row r="231" spans="1:21" ht="20.100000000000001" customHeight="1" x14ac:dyDescent="0.25">
      <c r="A231" s="2"/>
      <c r="B231" s="2"/>
      <c r="C231" s="2"/>
      <c r="D231" s="2"/>
      <c r="E231" s="2"/>
      <c r="F231" s="2"/>
      <c r="G231" s="2"/>
      <c r="H231" s="2"/>
      <c r="I231" s="2"/>
      <c r="J231" s="2"/>
      <c r="K231" s="2"/>
      <c r="L231" s="2"/>
      <c r="M231" s="2"/>
      <c r="N231" s="2"/>
      <c r="O231" s="2"/>
      <c r="P231" s="3"/>
      <c r="Q231" s="2"/>
      <c r="R231" s="2"/>
      <c r="S231" s="2"/>
      <c r="T231" s="2"/>
      <c r="U231" s="1"/>
    </row>
    <row r="232" spans="1:21" ht="20.100000000000001" customHeight="1" x14ac:dyDescent="0.25">
      <c r="A232" s="2"/>
      <c r="B232" s="2"/>
      <c r="C232" s="2"/>
      <c r="D232" s="2"/>
      <c r="E232" s="2"/>
      <c r="F232" s="2"/>
      <c r="G232" s="2"/>
      <c r="H232" s="2"/>
      <c r="I232" s="2"/>
      <c r="J232" s="2"/>
      <c r="K232" s="2"/>
      <c r="L232" s="2"/>
      <c r="M232" s="2"/>
      <c r="N232" s="2"/>
      <c r="O232" s="2"/>
      <c r="P232" s="3"/>
      <c r="Q232" s="2"/>
      <c r="R232" s="2"/>
      <c r="S232" s="2"/>
      <c r="T232" s="2"/>
      <c r="U232" s="1"/>
    </row>
    <row r="233" spans="1:21" ht="20.100000000000001" customHeight="1" x14ac:dyDescent="0.25">
      <c r="A233" s="2"/>
      <c r="B233" s="2"/>
      <c r="C233" s="2"/>
      <c r="D233" s="2"/>
      <c r="E233" s="2"/>
      <c r="F233" s="2"/>
      <c r="G233" s="2"/>
      <c r="H233" s="2"/>
      <c r="I233" s="2"/>
      <c r="J233" s="2"/>
      <c r="K233" s="2"/>
      <c r="L233" s="2"/>
      <c r="M233" s="2"/>
      <c r="N233" s="2"/>
      <c r="O233" s="2"/>
      <c r="P233" s="3"/>
      <c r="Q233" s="2"/>
      <c r="R233" s="2"/>
      <c r="S233" s="2"/>
      <c r="T233" s="2"/>
      <c r="U233" s="1"/>
    </row>
    <row r="234" spans="1:21" ht="20.100000000000001" customHeight="1" x14ac:dyDescent="0.25">
      <c r="A234" s="2"/>
      <c r="B234" s="2"/>
      <c r="C234" s="2"/>
      <c r="D234" s="2"/>
      <c r="E234" s="2"/>
      <c r="F234" s="2"/>
      <c r="G234" s="2"/>
      <c r="H234" s="2"/>
      <c r="I234" s="2"/>
      <c r="J234" s="2"/>
      <c r="K234" s="2"/>
      <c r="L234" s="2"/>
      <c r="M234" s="2"/>
      <c r="N234" s="2"/>
      <c r="O234" s="2"/>
      <c r="P234" s="3"/>
      <c r="Q234" s="2"/>
      <c r="R234" s="2"/>
      <c r="S234" s="2"/>
      <c r="T234" s="2"/>
      <c r="U234" s="1"/>
    </row>
    <row r="235" spans="1:21" ht="20.100000000000001" customHeight="1" x14ac:dyDescent="0.25">
      <c r="A235" s="2"/>
      <c r="B235" s="2"/>
      <c r="C235" s="2"/>
      <c r="D235" s="2"/>
      <c r="E235" s="2"/>
      <c r="F235" s="2"/>
      <c r="G235" s="2"/>
      <c r="H235" s="2"/>
      <c r="I235" s="2"/>
      <c r="J235" s="2"/>
      <c r="K235" s="2"/>
      <c r="L235" s="2"/>
      <c r="M235" s="2"/>
      <c r="N235" s="2"/>
      <c r="O235" s="2"/>
      <c r="P235" s="3"/>
      <c r="Q235" s="2"/>
      <c r="R235" s="2"/>
      <c r="S235" s="2"/>
      <c r="T235" s="2"/>
      <c r="U235" s="1"/>
    </row>
    <row r="236" spans="1:21" ht="20.100000000000001" customHeight="1" x14ac:dyDescent="0.25">
      <c r="A236" s="2"/>
      <c r="B236" s="2"/>
      <c r="C236" s="2"/>
      <c r="D236" s="2"/>
      <c r="E236" s="2"/>
      <c r="F236" s="2"/>
      <c r="G236" s="2"/>
      <c r="H236" s="2"/>
      <c r="I236" s="2"/>
      <c r="J236" s="2"/>
      <c r="K236" s="2"/>
      <c r="L236" s="2"/>
      <c r="M236" s="2"/>
      <c r="N236" s="2"/>
      <c r="O236" s="2"/>
      <c r="P236" s="3"/>
      <c r="Q236" s="2"/>
      <c r="R236" s="2"/>
      <c r="S236" s="2"/>
      <c r="T236" s="2"/>
      <c r="U236" s="1"/>
    </row>
    <row r="237" spans="1:21" ht="20.100000000000001" customHeight="1" x14ac:dyDescent="0.25">
      <c r="A237" s="2"/>
      <c r="B237" s="2"/>
      <c r="C237" s="2"/>
      <c r="D237" s="2"/>
      <c r="E237" s="2"/>
      <c r="F237" s="2"/>
      <c r="G237" s="2"/>
      <c r="H237" s="2"/>
      <c r="I237" s="2"/>
      <c r="J237" s="2"/>
      <c r="K237" s="2"/>
      <c r="L237" s="2"/>
      <c r="M237" s="2"/>
      <c r="N237" s="2"/>
      <c r="O237" s="2"/>
      <c r="P237" s="3"/>
      <c r="Q237" s="2"/>
      <c r="R237" s="2"/>
      <c r="S237" s="2"/>
      <c r="T237" s="2"/>
      <c r="U237" s="1"/>
    </row>
    <row r="238" spans="1:21" ht="20.100000000000001" customHeight="1" x14ac:dyDescent="0.25">
      <c r="A238" s="2"/>
      <c r="B238" s="2"/>
      <c r="C238" s="2"/>
      <c r="D238" s="2"/>
      <c r="E238" s="2"/>
      <c r="F238" s="2"/>
      <c r="G238" s="2"/>
      <c r="H238" s="2"/>
      <c r="I238" s="2"/>
      <c r="J238" s="2"/>
      <c r="K238" s="2"/>
      <c r="L238" s="2"/>
      <c r="M238" s="2"/>
      <c r="N238" s="2"/>
      <c r="O238" s="2"/>
      <c r="P238" s="3"/>
      <c r="Q238" s="2"/>
      <c r="R238" s="2"/>
      <c r="S238" s="2"/>
      <c r="T238" s="2"/>
      <c r="U238" s="1"/>
    </row>
    <row r="239" spans="1:21" ht="20.100000000000001" customHeight="1" x14ac:dyDescent="0.25">
      <c r="A239" s="2"/>
      <c r="B239" s="2"/>
      <c r="C239" s="2"/>
      <c r="D239" s="2"/>
      <c r="E239" s="2"/>
      <c r="F239" s="2"/>
      <c r="G239" s="2"/>
      <c r="H239" s="2"/>
      <c r="I239" s="2"/>
      <c r="J239" s="2"/>
      <c r="K239" s="2"/>
      <c r="L239" s="2"/>
      <c r="M239" s="2"/>
      <c r="N239" s="2"/>
      <c r="O239" s="2"/>
      <c r="P239" s="3"/>
      <c r="Q239" s="2"/>
      <c r="R239" s="2"/>
      <c r="S239" s="2"/>
      <c r="T239" s="2"/>
      <c r="U239" s="1"/>
    </row>
    <row r="240" spans="1:21" ht="20.100000000000001" customHeight="1" x14ac:dyDescent="0.25">
      <c r="A240" s="2"/>
      <c r="B240" s="2"/>
      <c r="C240" s="2"/>
      <c r="D240" s="2"/>
      <c r="E240" s="2"/>
      <c r="F240" s="2"/>
      <c r="G240" s="2"/>
      <c r="H240" s="2"/>
      <c r="I240" s="2"/>
      <c r="J240" s="2"/>
      <c r="K240" s="2"/>
      <c r="L240" s="2"/>
      <c r="M240" s="2"/>
      <c r="N240" s="2"/>
      <c r="O240" s="2"/>
      <c r="P240" s="3"/>
      <c r="Q240" s="2"/>
      <c r="R240" s="2"/>
      <c r="S240" s="2"/>
      <c r="T240" s="2"/>
      <c r="U240" s="1"/>
    </row>
    <row r="241" spans="1:21" ht="20.100000000000001" customHeight="1" x14ac:dyDescent="0.25">
      <c r="A241" s="2"/>
      <c r="B241" s="2"/>
      <c r="C241" s="2"/>
      <c r="D241" s="2"/>
      <c r="E241" s="2"/>
      <c r="F241" s="2"/>
      <c r="G241" s="2"/>
      <c r="H241" s="2"/>
      <c r="I241" s="2"/>
      <c r="J241" s="2"/>
      <c r="K241" s="2"/>
      <c r="L241" s="2"/>
      <c r="M241" s="2"/>
      <c r="N241" s="2"/>
      <c r="O241" s="2"/>
      <c r="P241" s="3"/>
      <c r="Q241" s="2"/>
      <c r="R241" s="2"/>
      <c r="S241" s="2"/>
      <c r="T241" s="2"/>
      <c r="U241" s="1"/>
    </row>
    <row r="242" spans="1:21" ht="20.100000000000001" customHeight="1" x14ac:dyDescent="0.25">
      <c r="A242" s="2"/>
      <c r="B242" s="2"/>
      <c r="C242" s="2"/>
      <c r="D242" s="2"/>
      <c r="E242" s="2"/>
      <c r="F242" s="2"/>
      <c r="G242" s="2"/>
      <c r="H242" s="2"/>
      <c r="I242" s="2"/>
      <c r="J242" s="2"/>
      <c r="K242" s="2"/>
      <c r="L242" s="2"/>
      <c r="M242" s="2"/>
      <c r="N242" s="2"/>
      <c r="O242" s="2"/>
      <c r="P242" s="3"/>
      <c r="Q242" s="2"/>
      <c r="R242" s="2"/>
      <c r="S242" s="2"/>
      <c r="T242" s="2"/>
      <c r="U242" s="1"/>
    </row>
    <row r="243" spans="1:21" ht="20.100000000000001" customHeight="1" x14ac:dyDescent="0.25">
      <c r="A243" s="2"/>
      <c r="B243" s="2"/>
      <c r="C243" s="2"/>
      <c r="D243" s="2"/>
      <c r="E243" s="2"/>
      <c r="F243" s="2"/>
      <c r="G243" s="2"/>
      <c r="H243" s="2"/>
      <c r="I243" s="2"/>
      <c r="J243" s="2"/>
      <c r="K243" s="2"/>
      <c r="L243" s="2"/>
      <c r="M243" s="2"/>
      <c r="N243" s="2"/>
      <c r="O243" s="2"/>
      <c r="P243" s="3"/>
      <c r="Q243" s="2"/>
      <c r="R243" s="2"/>
      <c r="S243" s="2"/>
      <c r="T243" s="2"/>
      <c r="U243" s="1"/>
    </row>
    <row r="244" spans="1:21" ht="20.100000000000001" customHeight="1" x14ac:dyDescent="0.25">
      <c r="A244" s="2"/>
      <c r="B244" s="2"/>
      <c r="C244" s="2"/>
      <c r="D244" s="2"/>
      <c r="E244" s="2"/>
      <c r="F244" s="2"/>
      <c r="G244" s="2"/>
      <c r="H244" s="2"/>
      <c r="I244" s="2"/>
      <c r="J244" s="2"/>
      <c r="K244" s="2"/>
      <c r="L244" s="2"/>
      <c r="M244" s="2"/>
      <c r="N244" s="2"/>
      <c r="O244" s="2"/>
      <c r="P244" s="3"/>
      <c r="Q244" s="2"/>
      <c r="R244" s="2"/>
      <c r="S244" s="2"/>
      <c r="T244" s="2"/>
      <c r="U244" s="1"/>
    </row>
    <row r="245" spans="1:21" ht="20.100000000000001" customHeight="1" x14ac:dyDescent="0.25">
      <c r="A245" s="2"/>
      <c r="B245" s="2"/>
      <c r="C245" s="2"/>
      <c r="D245" s="2"/>
      <c r="E245" s="2"/>
      <c r="F245" s="2"/>
      <c r="G245" s="2"/>
      <c r="H245" s="2"/>
      <c r="I245" s="2"/>
      <c r="J245" s="2"/>
      <c r="K245" s="2"/>
      <c r="L245" s="2"/>
      <c r="M245" s="2"/>
      <c r="N245" s="2"/>
      <c r="O245" s="2"/>
      <c r="P245" s="3"/>
      <c r="Q245" s="2"/>
      <c r="R245" s="2"/>
      <c r="S245" s="2"/>
      <c r="T245" s="2"/>
      <c r="U245" s="1"/>
    </row>
    <row r="246" spans="1:21" ht="20.100000000000001" customHeight="1" x14ac:dyDescent="0.25">
      <c r="A246" s="2"/>
      <c r="B246" s="2"/>
      <c r="C246" s="2"/>
      <c r="D246" s="2"/>
      <c r="E246" s="2"/>
      <c r="F246" s="2"/>
      <c r="G246" s="2"/>
      <c r="H246" s="2"/>
      <c r="I246" s="2"/>
      <c r="J246" s="2"/>
      <c r="K246" s="2"/>
      <c r="L246" s="2"/>
      <c r="M246" s="2"/>
      <c r="N246" s="2"/>
      <c r="O246" s="2"/>
      <c r="P246" s="3"/>
      <c r="Q246" s="2"/>
      <c r="R246" s="2"/>
      <c r="S246" s="2"/>
      <c r="T246" s="2"/>
      <c r="U246" s="1"/>
    </row>
    <row r="247" spans="1:21" ht="20.100000000000001" customHeight="1" x14ac:dyDescent="0.25">
      <c r="A247" s="2"/>
      <c r="B247" s="2"/>
      <c r="C247" s="2"/>
      <c r="D247" s="2"/>
      <c r="E247" s="2"/>
      <c r="F247" s="2"/>
      <c r="G247" s="2"/>
      <c r="H247" s="2"/>
      <c r="I247" s="2"/>
      <c r="J247" s="2"/>
      <c r="K247" s="2"/>
      <c r="L247" s="2"/>
      <c r="M247" s="2"/>
      <c r="N247" s="2"/>
      <c r="O247" s="2"/>
      <c r="P247" s="3"/>
      <c r="Q247" s="2"/>
      <c r="R247" s="2"/>
      <c r="S247" s="2"/>
      <c r="T247" s="2"/>
      <c r="U247" s="1"/>
    </row>
    <row r="248" spans="1:21" ht="20.100000000000001" customHeight="1" x14ac:dyDescent="0.25">
      <c r="A248" s="2"/>
      <c r="B248" s="2"/>
      <c r="C248" s="2"/>
      <c r="D248" s="2"/>
      <c r="E248" s="2"/>
      <c r="F248" s="2"/>
      <c r="G248" s="2"/>
      <c r="H248" s="2"/>
      <c r="I248" s="2"/>
      <c r="J248" s="2"/>
      <c r="K248" s="2"/>
      <c r="L248" s="2"/>
      <c r="M248" s="2"/>
      <c r="N248" s="2"/>
      <c r="O248" s="2"/>
      <c r="P248" s="3"/>
      <c r="Q248" s="2"/>
      <c r="R248" s="2"/>
      <c r="S248" s="2"/>
      <c r="T248" s="2"/>
      <c r="U248" s="1"/>
    </row>
    <row r="249" spans="1:21" ht="20.100000000000001" customHeight="1" x14ac:dyDescent="0.25">
      <c r="A249" s="2"/>
      <c r="B249" s="2"/>
      <c r="C249" s="2"/>
      <c r="D249" s="2"/>
      <c r="E249" s="2"/>
      <c r="F249" s="2"/>
      <c r="G249" s="2"/>
      <c r="H249" s="2"/>
      <c r="I249" s="2"/>
      <c r="J249" s="2"/>
      <c r="K249" s="2"/>
      <c r="L249" s="2"/>
      <c r="M249" s="2"/>
      <c r="N249" s="2"/>
      <c r="O249" s="2"/>
      <c r="P249" s="3"/>
      <c r="Q249" s="2"/>
      <c r="R249" s="2"/>
      <c r="S249" s="2"/>
      <c r="T249" s="2"/>
      <c r="U249" s="1"/>
    </row>
    <row r="250" spans="1:21" ht="20.100000000000001" customHeight="1" x14ac:dyDescent="0.25">
      <c r="A250" s="2"/>
      <c r="B250" s="2"/>
      <c r="C250" s="2"/>
      <c r="D250" s="2"/>
      <c r="E250" s="2"/>
      <c r="F250" s="2"/>
      <c r="G250" s="2"/>
      <c r="H250" s="2"/>
      <c r="I250" s="2"/>
      <c r="J250" s="2"/>
      <c r="K250" s="2"/>
      <c r="L250" s="2"/>
      <c r="M250" s="2"/>
      <c r="N250" s="2"/>
      <c r="O250" s="2"/>
      <c r="P250" s="3"/>
      <c r="Q250" s="2"/>
      <c r="R250" s="2"/>
      <c r="S250" s="2"/>
      <c r="T250" s="2"/>
      <c r="U250" s="1"/>
    </row>
    <row r="251" spans="1:21" ht="20.100000000000001" customHeight="1" x14ac:dyDescent="0.25">
      <c r="A251" s="2"/>
      <c r="B251" s="2"/>
      <c r="C251" s="2"/>
      <c r="D251" s="2"/>
      <c r="E251" s="2"/>
      <c r="F251" s="2"/>
      <c r="G251" s="2"/>
      <c r="H251" s="2"/>
      <c r="I251" s="2"/>
      <c r="J251" s="2"/>
      <c r="K251" s="2"/>
      <c r="L251" s="2"/>
      <c r="M251" s="2"/>
      <c r="N251" s="2"/>
      <c r="O251" s="2"/>
      <c r="P251" s="3"/>
      <c r="Q251" s="2"/>
      <c r="R251" s="2"/>
      <c r="S251" s="2"/>
      <c r="T251" s="2"/>
      <c r="U251" s="1"/>
    </row>
    <row r="252" spans="1:21" ht="20.100000000000001" customHeight="1" x14ac:dyDescent="0.25">
      <c r="A252" s="2"/>
      <c r="B252" s="2"/>
      <c r="C252" s="2"/>
      <c r="D252" s="2"/>
      <c r="E252" s="2"/>
      <c r="F252" s="2"/>
      <c r="G252" s="2"/>
      <c r="H252" s="2"/>
      <c r="I252" s="2"/>
      <c r="J252" s="2"/>
      <c r="K252" s="2"/>
      <c r="L252" s="2"/>
      <c r="M252" s="2"/>
      <c r="N252" s="2"/>
      <c r="O252" s="2"/>
      <c r="P252" s="3"/>
      <c r="Q252" s="2"/>
      <c r="R252" s="2"/>
      <c r="S252" s="2"/>
      <c r="T252" s="2"/>
      <c r="U252" s="1"/>
    </row>
    <row r="253" spans="1:21" ht="20.100000000000001" customHeight="1" x14ac:dyDescent="0.25">
      <c r="A253" s="2"/>
      <c r="B253" s="2"/>
      <c r="C253" s="2"/>
      <c r="D253" s="2"/>
      <c r="E253" s="2"/>
      <c r="F253" s="2"/>
      <c r="G253" s="2"/>
      <c r="H253" s="2"/>
      <c r="I253" s="2"/>
      <c r="J253" s="2"/>
      <c r="K253" s="2"/>
      <c r="L253" s="2"/>
      <c r="M253" s="2"/>
      <c r="N253" s="2"/>
      <c r="O253" s="2"/>
      <c r="P253" s="3"/>
      <c r="Q253" s="2"/>
      <c r="R253" s="2"/>
      <c r="S253" s="2"/>
      <c r="T253" s="2"/>
      <c r="U253" s="1"/>
    </row>
    <row r="254" spans="1:21" ht="20.100000000000001" customHeight="1" x14ac:dyDescent="0.25">
      <c r="A254" s="2"/>
      <c r="B254" s="2"/>
      <c r="C254" s="2"/>
      <c r="D254" s="2"/>
      <c r="E254" s="2"/>
      <c r="F254" s="2"/>
      <c r="G254" s="2"/>
      <c r="H254" s="2"/>
      <c r="I254" s="2"/>
      <c r="J254" s="2"/>
      <c r="K254" s="2"/>
      <c r="L254" s="2"/>
      <c r="M254" s="2"/>
      <c r="N254" s="2"/>
      <c r="O254" s="2"/>
      <c r="P254" s="3"/>
      <c r="Q254" s="2"/>
      <c r="R254" s="2"/>
      <c r="S254" s="2"/>
      <c r="T254" s="2"/>
      <c r="U254" s="1"/>
    </row>
    <row r="255" spans="1:21" ht="20.100000000000001" customHeight="1" x14ac:dyDescent="0.25">
      <c r="A255" s="2"/>
      <c r="B255" s="2"/>
      <c r="C255" s="2"/>
      <c r="D255" s="2"/>
      <c r="E255" s="2"/>
      <c r="F255" s="2"/>
      <c r="G255" s="2"/>
      <c r="H255" s="2"/>
      <c r="I255" s="2"/>
      <c r="J255" s="2"/>
      <c r="K255" s="2"/>
      <c r="L255" s="2"/>
      <c r="M255" s="2"/>
      <c r="N255" s="2"/>
      <c r="O255" s="2"/>
      <c r="P255" s="3"/>
      <c r="Q255" s="2"/>
      <c r="R255" s="2"/>
      <c r="S255" s="2"/>
      <c r="T255" s="2"/>
      <c r="U255" s="1"/>
    </row>
    <row r="256" spans="1:21" ht="20.100000000000001" customHeight="1" x14ac:dyDescent="0.25">
      <c r="A256" s="2"/>
      <c r="B256" s="2"/>
      <c r="C256" s="2"/>
      <c r="D256" s="2"/>
      <c r="E256" s="2"/>
      <c r="F256" s="2"/>
      <c r="G256" s="2"/>
      <c r="H256" s="2"/>
      <c r="I256" s="2"/>
      <c r="J256" s="2"/>
      <c r="K256" s="2"/>
      <c r="L256" s="2"/>
      <c r="M256" s="2"/>
      <c r="N256" s="2"/>
      <c r="O256" s="2"/>
      <c r="P256" s="3"/>
      <c r="Q256" s="2"/>
      <c r="R256" s="2"/>
      <c r="S256" s="2"/>
      <c r="T256" s="2"/>
      <c r="U256" s="1"/>
    </row>
    <row r="257" spans="1:21" ht="20.100000000000001" customHeight="1" x14ac:dyDescent="0.25">
      <c r="A257" s="2"/>
      <c r="B257" s="2"/>
      <c r="C257" s="2"/>
      <c r="D257" s="2"/>
      <c r="E257" s="2"/>
      <c r="F257" s="2"/>
      <c r="G257" s="2"/>
      <c r="H257" s="2"/>
      <c r="I257" s="2"/>
      <c r="J257" s="2"/>
      <c r="K257" s="2"/>
      <c r="L257" s="2"/>
      <c r="M257" s="2"/>
      <c r="N257" s="2"/>
      <c r="O257" s="2"/>
      <c r="P257" s="3"/>
      <c r="Q257" s="2"/>
      <c r="R257" s="2"/>
      <c r="S257" s="2"/>
      <c r="T257" s="2"/>
      <c r="U257" s="1"/>
    </row>
    <row r="258" spans="1:21" ht="20.100000000000001" customHeight="1" x14ac:dyDescent="0.25">
      <c r="A258" s="2"/>
      <c r="B258" s="2"/>
      <c r="C258" s="2"/>
      <c r="D258" s="2"/>
      <c r="E258" s="2"/>
      <c r="F258" s="2"/>
      <c r="G258" s="2"/>
      <c r="H258" s="2"/>
      <c r="I258" s="2"/>
      <c r="J258" s="2"/>
      <c r="K258" s="2"/>
      <c r="L258" s="2"/>
      <c r="M258" s="2"/>
      <c r="N258" s="2"/>
      <c r="O258" s="2"/>
      <c r="P258" s="3"/>
      <c r="Q258" s="2"/>
      <c r="R258" s="2"/>
      <c r="S258" s="2"/>
      <c r="T258" s="2"/>
      <c r="U258" s="1"/>
    </row>
    <row r="259" spans="1:21" ht="20.100000000000001" customHeight="1" x14ac:dyDescent="0.25">
      <c r="A259" s="2"/>
      <c r="B259" s="2"/>
      <c r="C259" s="2"/>
      <c r="D259" s="2"/>
      <c r="E259" s="2"/>
      <c r="F259" s="2"/>
      <c r="G259" s="2"/>
      <c r="H259" s="2"/>
      <c r="I259" s="2"/>
      <c r="J259" s="2"/>
      <c r="K259" s="2"/>
      <c r="L259" s="2"/>
      <c r="M259" s="2"/>
      <c r="N259" s="2"/>
      <c r="O259" s="2"/>
      <c r="P259" s="3"/>
      <c r="Q259" s="2"/>
      <c r="R259" s="2"/>
      <c r="S259" s="2"/>
      <c r="T259" s="2"/>
      <c r="U259" s="1"/>
    </row>
    <row r="260" spans="1:21" ht="20.100000000000001" customHeight="1" x14ac:dyDescent="0.25">
      <c r="A260" s="2"/>
      <c r="B260" s="2"/>
      <c r="C260" s="2"/>
      <c r="D260" s="2"/>
      <c r="E260" s="2"/>
      <c r="F260" s="2"/>
      <c r="G260" s="2"/>
      <c r="H260" s="2"/>
      <c r="I260" s="2"/>
      <c r="J260" s="2"/>
      <c r="K260" s="2"/>
      <c r="L260" s="2"/>
      <c r="M260" s="2"/>
      <c r="N260" s="2"/>
      <c r="O260" s="2"/>
      <c r="P260" s="3"/>
      <c r="Q260" s="2"/>
      <c r="R260" s="2"/>
      <c r="S260" s="2"/>
      <c r="T260" s="2"/>
      <c r="U260" s="1"/>
    </row>
    <row r="261" spans="1:21" ht="20.100000000000001" customHeight="1" x14ac:dyDescent="0.25">
      <c r="A261" s="2"/>
      <c r="B261" s="2"/>
      <c r="C261" s="2"/>
      <c r="D261" s="2"/>
      <c r="E261" s="2"/>
      <c r="F261" s="2"/>
      <c r="G261" s="2"/>
      <c r="H261" s="2"/>
      <c r="I261" s="2"/>
      <c r="J261" s="2"/>
      <c r="K261" s="2"/>
      <c r="L261" s="2"/>
      <c r="M261" s="2"/>
      <c r="N261" s="2"/>
      <c r="O261" s="2"/>
      <c r="P261" s="3"/>
      <c r="Q261" s="2"/>
      <c r="R261" s="2"/>
      <c r="S261" s="2"/>
      <c r="T261" s="2"/>
      <c r="U261" s="1"/>
    </row>
    <row r="262" spans="1:21" ht="20.100000000000001" customHeight="1" x14ac:dyDescent="0.25">
      <c r="A262" s="2"/>
      <c r="B262" s="2"/>
      <c r="C262" s="2"/>
      <c r="D262" s="2"/>
      <c r="E262" s="2"/>
      <c r="F262" s="2"/>
      <c r="G262" s="2"/>
      <c r="H262" s="2"/>
      <c r="I262" s="2"/>
      <c r="J262" s="2"/>
      <c r="K262" s="2"/>
      <c r="L262" s="2"/>
      <c r="M262" s="2"/>
      <c r="N262" s="2"/>
      <c r="O262" s="2"/>
      <c r="P262" s="3"/>
      <c r="Q262" s="2"/>
      <c r="R262" s="2"/>
      <c r="S262" s="2"/>
      <c r="T262" s="2"/>
      <c r="U262" s="1"/>
    </row>
    <row r="263" spans="1:21" ht="20.100000000000001" customHeight="1" x14ac:dyDescent="0.25">
      <c r="A263" s="2"/>
      <c r="B263" s="2"/>
      <c r="C263" s="2"/>
      <c r="D263" s="2"/>
      <c r="E263" s="2"/>
      <c r="F263" s="2"/>
      <c r="G263" s="2"/>
      <c r="H263" s="2"/>
      <c r="I263" s="2"/>
      <c r="J263" s="2"/>
      <c r="K263" s="2"/>
      <c r="L263" s="2"/>
      <c r="M263" s="2"/>
      <c r="N263" s="2"/>
      <c r="O263" s="2"/>
      <c r="P263" s="3"/>
      <c r="Q263" s="2"/>
      <c r="R263" s="2"/>
      <c r="S263" s="2"/>
      <c r="T263" s="2"/>
      <c r="U263" s="1"/>
    </row>
    <row r="264" spans="1:21" ht="20.100000000000001" customHeight="1" x14ac:dyDescent="0.25">
      <c r="A264" s="2"/>
      <c r="B264" s="2"/>
      <c r="C264" s="2"/>
      <c r="D264" s="2"/>
      <c r="E264" s="2"/>
      <c r="F264" s="2"/>
      <c r="G264" s="2"/>
      <c r="H264" s="2"/>
      <c r="I264" s="2"/>
      <c r="J264" s="2"/>
      <c r="K264" s="2"/>
      <c r="L264" s="2"/>
      <c r="M264" s="2"/>
      <c r="N264" s="2"/>
      <c r="O264" s="2"/>
      <c r="P264" s="3"/>
      <c r="Q264" s="2"/>
      <c r="R264" s="2"/>
      <c r="S264" s="2"/>
      <c r="T264" s="2"/>
      <c r="U264" s="1"/>
    </row>
    <row r="265" spans="1:21" ht="20.100000000000001" customHeight="1" x14ac:dyDescent="0.25">
      <c r="A265" s="2"/>
      <c r="B265" s="2"/>
      <c r="C265" s="2"/>
      <c r="D265" s="2"/>
      <c r="E265" s="2"/>
      <c r="F265" s="2"/>
      <c r="G265" s="2"/>
      <c r="H265" s="2"/>
      <c r="I265" s="2"/>
      <c r="J265" s="2"/>
      <c r="K265" s="2"/>
      <c r="L265" s="2"/>
      <c r="M265" s="2"/>
      <c r="N265" s="2"/>
      <c r="O265" s="2"/>
      <c r="P265" s="3"/>
      <c r="Q265" s="2"/>
      <c r="R265" s="2"/>
      <c r="S265" s="2"/>
      <c r="T265" s="2"/>
      <c r="U265" s="1"/>
    </row>
    <row r="266" spans="1:21" ht="20.100000000000001" customHeight="1" x14ac:dyDescent="0.25">
      <c r="A266" s="2"/>
      <c r="B266" s="2"/>
      <c r="C266" s="2"/>
      <c r="D266" s="2"/>
      <c r="E266" s="2"/>
      <c r="F266" s="2"/>
      <c r="G266" s="2"/>
      <c r="H266" s="2"/>
      <c r="I266" s="2"/>
      <c r="J266" s="2"/>
      <c r="K266" s="2"/>
      <c r="L266" s="2"/>
      <c r="M266" s="2"/>
      <c r="N266" s="2"/>
      <c r="O266" s="2"/>
      <c r="P266" s="3"/>
      <c r="Q266" s="2"/>
      <c r="R266" s="2"/>
      <c r="S266" s="2"/>
      <c r="T266" s="2"/>
      <c r="U266" s="1"/>
    </row>
    <row r="267" spans="1:21" ht="20.100000000000001" customHeight="1" x14ac:dyDescent="0.25">
      <c r="A267" s="2"/>
      <c r="B267" s="2"/>
      <c r="C267" s="2"/>
      <c r="D267" s="2"/>
      <c r="E267" s="2"/>
      <c r="F267" s="2"/>
      <c r="G267" s="2"/>
      <c r="H267" s="2"/>
      <c r="I267" s="2"/>
      <c r="J267" s="2"/>
      <c r="K267" s="2"/>
      <c r="L267" s="2"/>
      <c r="M267" s="2"/>
      <c r="N267" s="2"/>
      <c r="O267" s="2"/>
      <c r="P267" s="3"/>
      <c r="Q267" s="2"/>
      <c r="R267" s="2"/>
      <c r="S267" s="2"/>
      <c r="T267" s="2"/>
      <c r="U267" s="1"/>
    </row>
    <row r="268" spans="1:21" ht="20.100000000000001" customHeight="1" x14ac:dyDescent="0.25">
      <c r="A268" s="2"/>
      <c r="B268" s="2"/>
      <c r="C268" s="2"/>
      <c r="D268" s="2"/>
      <c r="E268" s="2"/>
      <c r="F268" s="2"/>
      <c r="G268" s="2"/>
      <c r="H268" s="2"/>
      <c r="I268" s="2"/>
      <c r="J268" s="2"/>
      <c r="K268" s="2"/>
      <c r="L268" s="2"/>
      <c r="M268" s="2"/>
      <c r="N268" s="2"/>
      <c r="O268" s="2"/>
      <c r="P268" s="3"/>
      <c r="Q268" s="2"/>
      <c r="R268" s="2"/>
      <c r="S268" s="2"/>
      <c r="T268" s="2"/>
      <c r="U268" s="1"/>
    </row>
    <row r="269" spans="1:21" ht="20.100000000000001" customHeight="1" x14ac:dyDescent="0.25">
      <c r="A269" s="2"/>
      <c r="B269" s="2"/>
      <c r="C269" s="2"/>
      <c r="D269" s="2"/>
      <c r="E269" s="2"/>
      <c r="F269" s="2"/>
      <c r="G269" s="2"/>
      <c r="H269" s="2"/>
      <c r="I269" s="2"/>
      <c r="J269" s="2"/>
      <c r="K269" s="2"/>
      <c r="L269" s="2"/>
      <c r="M269" s="2"/>
      <c r="N269" s="2"/>
      <c r="O269" s="2"/>
      <c r="P269" s="3"/>
      <c r="Q269" s="2"/>
      <c r="R269" s="2"/>
      <c r="S269" s="2"/>
      <c r="T269" s="2"/>
      <c r="U269" s="1"/>
    </row>
    <row r="270" spans="1:21" ht="20.100000000000001" customHeight="1" x14ac:dyDescent="0.25">
      <c r="A270" s="2"/>
      <c r="B270" s="2"/>
      <c r="C270" s="2"/>
      <c r="D270" s="2"/>
      <c r="E270" s="2"/>
      <c r="F270" s="2"/>
      <c r="G270" s="2"/>
      <c r="H270" s="2"/>
      <c r="I270" s="2"/>
      <c r="J270" s="2"/>
      <c r="K270" s="2"/>
      <c r="L270" s="2"/>
      <c r="M270" s="2"/>
      <c r="N270" s="2"/>
      <c r="O270" s="2"/>
      <c r="P270" s="3"/>
      <c r="Q270" s="2"/>
      <c r="R270" s="2"/>
      <c r="S270" s="2"/>
      <c r="T270" s="2"/>
      <c r="U270" s="1"/>
    </row>
    <row r="271" spans="1:21" ht="20.100000000000001" customHeight="1" x14ac:dyDescent="0.25">
      <c r="A271" s="2"/>
      <c r="B271" s="2"/>
      <c r="C271" s="2"/>
      <c r="D271" s="2"/>
      <c r="E271" s="2"/>
      <c r="F271" s="2"/>
      <c r="G271" s="2"/>
      <c r="H271" s="2"/>
      <c r="I271" s="2"/>
      <c r="J271" s="2"/>
      <c r="K271" s="2"/>
      <c r="L271" s="2"/>
      <c r="M271" s="2"/>
      <c r="N271" s="2"/>
      <c r="O271" s="2"/>
      <c r="P271" s="3"/>
      <c r="Q271" s="2"/>
      <c r="R271" s="2"/>
      <c r="S271" s="2"/>
      <c r="T271" s="2"/>
      <c r="U271" s="1"/>
    </row>
    <row r="272" spans="1:21" ht="20.100000000000001" customHeight="1" x14ac:dyDescent="0.25">
      <c r="A272" s="2"/>
      <c r="B272" s="2"/>
      <c r="C272" s="2"/>
      <c r="D272" s="2"/>
      <c r="E272" s="2"/>
      <c r="F272" s="2"/>
      <c r="G272" s="2"/>
      <c r="H272" s="2"/>
      <c r="I272" s="2"/>
      <c r="J272" s="2"/>
      <c r="K272" s="2"/>
      <c r="L272" s="2"/>
      <c r="M272" s="2"/>
      <c r="N272" s="2"/>
      <c r="O272" s="2"/>
      <c r="P272" s="3"/>
      <c r="Q272" s="2"/>
      <c r="R272" s="2"/>
      <c r="S272" s="2"/>
      <c r="T272" s="2"/>
      <c r="U272" s="1"/>
    </row>
    <row r="273" spans="1:21" ht="20.100000000000001" customHeight="1" x14ac:dyDescent="0.25">
      <c r="A273" s="2"/>
      <c r="B273" s="2"/>
      <c r="C273" s="2"/>
      <c r="D273" s="2"/>
      <c r="E273" s="2"/>
      <c r="F273" s="2"/>
      <c r="G273" s="2"/>
      <c r="H273" s="2"/>
      <c r="I273" s="2"/>
      <c r="J273" s="2"/>
      <c r="K273" s="2"/>
      <c r="L273" s="2"/>
      <c r="M273" s="2"/>
      <c r="N273" s="2"/>
      <c r="O273" s="2"/>
      <c r="P273" s="3"/>
      <c r="Q273" s="2"/>
      <c r="R273" s="2"/>
      <c r="S273" s="2"/>
      <c r="T273" s="2"/>
      <c r="U273" s="1"/>
    </row>
    <row r="274" spans="1:21" ht="20.100000000000001" customHeight="1" x14ac:dyDescent="0.25">
      <c r="A274" s="2"/>
      <c r="B274" s="2"/>
      <c r="C274" s="2"/>
      <c r="D274" s="2"/>
      <c r="E274" s="2"/>
      <c r="F274" s="2"/>
      <c r="G274" s="2"/>
      <c r="H274" s="2"/>
      <c r="I274" s="2"/>
      <c r="J274" s="2"/>
      <c r="K274" s="2"/>
      <c r="L274" s="2"/>
      <c r="M274" s="2"/>
      <c r="N274" s="2"/>
      <c r="O274" s="2"/>
      <c r="P274" s="3"/>
      <c r="Q274" s="2"/>
      <c r="R274" s="2"/>
      <c r="S274" s="2"/>
      <c r="T274" s="2"/>
      <c r="U274" s="1"/>
    </row>
    <row r="275" spans="1:21" ht="20.100000000000001" customHeight="1" x14ac:dyDescent="0.25">
      <c r="A275" s="2"/>
      <c r="B275" s="2"/>
      <c r="C275" s="2"/>
      <c r="D275" s="2"/>
      <c r="E275" s="2"/>
      <c r="F275" s="2"/>
      <c r="G275" s="2"/>
      <c r="H275" s="2"/>
      <c r="I275" s="2"/>
      <c r="J275" s="2"/>
      <c r="K275" s="2"/>
      <c r="L275" s="2"/>
      <c r="M275" s="2"/>
      <c r="N275" s="2"/>
      <c r="O275" s="2"/>
      <c r="P275" s="3"/>
      <c r="Q275" s="2"/>
      <c r="R275" s="2"/>
      <c r="S275" s="2"/>
      <c r="T275" s="2"/>
      <c r="U275" s="1"/>
    </row>
    <row r="276" spans="1:21" ht="20.100000000000001" customHeight="1" x14ac:dyDescent="0.25">
      <c r="A276" s="2"/>
      <c r="B276" s="2"/>
      <c r="C276" s="2"/>
      <c r="D276" s="2"/>
      <c r="E276" s="2"/>
      <c r="F276" s="2"/>
      <c r="G276" s="2"/>
      <c r="H276" s="2"/>
      <c r="I276" s="2"/>
      <c r="J276" s="2"/>
      <c r="K276" s="2"/>
      <c r="L276" s="2"/>
      <c r="M276" s="2"/>
      <c r="N276" s="2"/>
      <c r="O276" s="2"/>
      <c r="P276" s="3"/>
      <c r="Q276" s="2"/>
      <c r="R276" s="2"/>
      <c r="S276" s="2"/>
      <c r="T276" s="2"/>
      <c r="U276" s="1"/>
    </row>
    <row r="277" spans="1:21" ht="20.100000000000001" customHeight="1" x14ac:dyDescent="0.25">
      <c r="A277" s="2"/>
      <c r="B277" s="2"/>
      <c r="C277" s="2"/>
      <c r="D277" s="2"/>
      <c r="E277" s="2"/>
      <c r="F277" s="2"/>
      <c r="G277" s="2"/>
      <c r="H277" s="2"/>
      <c r="I277" s="2"/>
      <c r="J277" s="2"/>
      <c r="K277" s="2"/>
      <c r="L277" s="2"/>
      <c r="M277" s="2"/>
      <c r="N277" s="2"/>
      <c r="O277" s="2"/>
      <c r="P277" s="3"/>
      <c r="Q277" s="2"/>
      <c r="R277" s="2"/>
      <c r="S277" s="2"/>
      <c r="T277" s="2"/>
      <c r="U277" s="1"/>
    </row>
    <row r="278" spans="1:21" ht="20.100000000000001" customHeight="1" x14ac:dyDescent="0.25">
      <c r="A278" s="2"/>
      <c r="B278" s="2"/>
      <c r="C278" s="2"/>
      <c r="D278" s="2"/>
      <c r="E278" s="2"/>
      <c r="F278" s="2"/>
      <c r="G278" s="2"/>
      <c r="H278" s="2"/>
      <c r="I278" s="2"/>
      <c r="J278" s="2"/>
      <c r="K278" s="2"/>
      <c r="L278" s="2"/>
      <c r="M278" s="2"/>
      <c r="N278" s="2"/>
      <c r="O278" s="2"/>
      <c r="P278" s="3"/>
      <c r="Q278" s="2"/>
      <c r="R278" s="2"/>
      <c r="S278" s="2"/>
      <c r="T278" s="2"/>
      <c r="U278" s="1"/>
    </row>
    <row r="279" spans="1:21" ht="20.100000000000001" customHeight="1" x14ac:dyDescent="0.25">
      <c r="A279" s="2"/>
      <c r="B279" s="2"/>
      <c r="C279" s="2"/>
      <c r="D279" s="2"/>
      <c r="E279" s="2"/>
      <c r="F279" s="2"/>
      <c r="G279" s="2"/>
      <c r="H279" s="2"/>
      <c r="I279" s="2"/>
      <c r="J279" s="2"/>
      <c r="K279" s="2"/>
      <c r="L279" s="2"/>
      <c r="M279" s="2"/>
      <c r="N279" s="2"/>
      <c r="O279" s="2"/>
      <c r="P279" s="3"/>
      <c r="Q279" s="2"/>
      <c r="R279" s="2"/>
      <c r="S279" s="2"/>
      <c r="T279" s="2"/>
      <c r="U279" s="1"/>
    </row>
    <row r="280" spans="1:21" ht="20.100000000000001" customHeight="1" x14ac:dyDescent="0.25">
      <c r="A280" s="2"/>
      <c r="B280" s="2"/>
      <c r="C280" s="2"/>
      <c r="D280" s="2"/>
      <c r="E280" s="2"/>
      <c r="F280" s="2"/>
      <c r="G280" s="2"/>
      <c r="H280" s="2"/>
      <c r="I280" s="2"/>
      <c r="J280" s="2"/>
      <c r="K280" s="2"/>
      <c r="L280" s="2"/>
      <c r="M280" s="2"/>
      <c r="N280" s="2"/>
      <c r="O280" s="2"/>
      <c r="P280" s="3"/>
      <c r="Q280" s="2"/>
      <c r="R280" s="2"/>
      <c r="S280" s="2"/>
      <c r="T280" s="2"/>
      <c r="U280" s="1"/>
    </row>
    <row r="281" spans="1:21" ht="20.100000000000001" customHeight="1" x14ac:dyDescent="0.25">
      <c r="A281" s="2"/>
      <c r="B281" s="2"/>
      <c r="C281" s="2"/>
      <c r="D281" s="2"/>
      <c r="E281" s="2"/>
      <c r="F281" s="2"/>
      <c r="G281" s="2"/>
      <c r="H281" s="2"/>
      <c r="I281" s="2"/>
      <c r="J281" s="2"/>
      <c r="K281" s="2"/>
      <c r="L281" s="2"/>
      <c r="M281" s="2"/>
      <c r="N281" s="2"/>
      <c r="O281" s="2"/>
      <c r="P281" s="3"/>
      <c r="Q281" s="2"/>
      <c r="R281" s="2"/>
      <c r="S281" s="2"/>
      <c r="T281" s="2"/>
      <c r="U281" s="1"/>
    </row>
    <row r="282" spans="1:21" ht="20.100000000000001" customHeight="1" x14ac:dyDescent="0.25">
      <c r="A282" s="2"/>
      <c r="B282" s="2"/>
      <c r="C282" s="2"/>
      <c r="D282" s="2"/>
      <c r="E282" s="2"/>
      <c r="F282" s="2"/>
      <c r="G282" s="2"/>
      <c r="H282" s="2"/>
      <c r="I282" s="2"/>
      <c r="J282" s="2"/>
      <c r="K282" s="2"/>
      <c r="L282" s="2"/>
      <c r="M282" s="2"/>
      <c r="N282" s="2"/>
      <c r="O282" s="2"/>
      <c r="P282" s="3"/>
      <c r="Q282" s="2"/>
      <c r="R282" s="2"/>
      <c r="S282" s="2"/>
      <c r="T282" s="2"/>
      <c r="U282" s="1"/>
    </row>
    <row r="283" spans="1:21" ht="20.100000000000001" customHeight="1" x14ac:dyDescent="0.25">
      <c r="A283" s="2"/>
      <c r="B283" s="2"/>
      <c r="C283" s="2"/>
      <c r="D283" s="2"/>
      <c r="E283" s="2"/>
      <c r="F283" s="2"/>
      <c r="G283" s="2"/>
      <c r="H283" s="2"/>
      <c r="I283" s="2"/>
      <c r="J283" s="2"/>
      <c r="K283" s="2"/>
      <c r="L283" s="2"/>
      <c r="M283" s="2"/>
      <c r="N283" s="2"/>
      <c r="O283" s="2"/>
      <c r="P283" s="3"/>
      <c r="Q283" s="2"/>
      <c r="R283" s="2"/>
      <c r="S283" s="2"/>
      <c r="T283" s="2"/>
      <c r="U283" s="1"/>
    </row>
    <row r="284" spans="1:21" ht="20.100000000000001" customHeight="1" x14ac:dyDescent="0.25">
      <c r="A284" s="2"/>
      <c r="B284" s="2"/>
      <c r="C284" s="2"/>
      <c r="D284" s="2"/>
      <c r="E284" s="2"/>
      <c r="F284" s="2"/>
      <c r="G284" s="2"/>
      <c r="H284" s="2"/>
      <c r="I284" s="2"/>
      <c r="J284" s="2"/>
      <c r="K284" s="2"/>
      <c r="L284" s="2"/>
      <c r="M284" s="2"/>
      <c r="N284" s="2"/>
      <c r="O284" s="2"/>
      <c r="P284" s="3"/>
      <c r="Q284" s="2"/>
      <c r="R284" s="2"/>
      <c r="S284" s="2"/>
      <c r="T284" s="2"/>
      <c r="U284" s="1"/>
    </row>
    <row r="285" spans="1:21" ht="20.100000000000001" customHeight="1" x14ac:dyDescent="0.25">
      <c r="A285" s="2"/>
      <c r="B285" s="2"/>
      <c r="C285" s="2"/>
      <c r="D285" s="2"/>
      <c r="E285" s="2"/>
      <c r="F285" s="2"/>
      <c r="G285" s="2"/>
      <c r="H285" s="2"/>
      <c r="I285" s="2"/>
      <c r="J285" s="2"/>
      <c r="K285" s="2"/>
      <c r="L285" s="2"/>
      <c r="M285" s="2"/>
      <c r="N285" s="2"/>
      <c r="O285" s="2"/>
      <c r="P285" s="3"/>
      <c r="Q285" s="2"/>
      <c r="R285" s="2"/>
      <c r="S285" s="2"/>
      <c r="T285" s="2"/>
      <c r="U285" s="1"/>
    </row>
    <row r="286" spans="1:21" ht="20.100000000000001" customHeight="1" x14ac:dyDescent="0.25">
      <c r="A286" s="2"/>
      <c r="B286" s="2"/>
      <c r="C286" s="2"/>
      <c r="D286" s="2"/>
      <c r="E286" s="2"/>
      <c r="F286" s="2"/>
      <c r="G286" s="2"/>
      <c r="H286" s="2"/>
      <c r="I286" s="2"/>
      <c r="J286" s="2"/>
      <c r="K286" s="2"/>
      <c r="L286" s="2"/>
      <c r="M286" s="2"/>
      <c r="N286" s="2"/>
      <c r="O286" s="2"/>
      <c r="P286" s="3"/>
      <c r="Q286" s="2"/>
      <c r="R286" s="2"/>
      <c r="S286" s="2"/>
      <c r="T286" s="2"/>
      <c r="U286" s="1"/>
    </row>
    <row r="287" spans="1:21" ht="20.100000000000001" customHeight="1" x14ac:dyDescent="0.25">
      <c r="A287" s="2"/>
      <c r="B287" s="2"/>
      <c r="C287" s="2"/>
      <c r="D287" s="2"/>
      <c r="E287" s="2"/>
      <c r="F287" s="2"/>
      <c r="G287" s="2"/>
      <c r="H287" s="2"/>
      <c r="I287" s="2"/>
      <c r="J287" s="2"/>
      <c r="K287" s="2"/>
      <c r="L287" s="2"/>
      <c r="M287" s="2"/>
      <c r="N287" s="2"/>
      <c r="O287" s="2"/>
      <c r="P287" s="3"/>
      <c r="Q287" s="2"/>
      <c r="R287" s="2"/>
      <c r="S287" s="2"/>
      <c r="T287" s="2"/>
      <c r="U287" s="1"/>
    </row>
    <row r="288" spans="1:21" ht="20.100000000000001" customHeight="1" x14ac:dyDescent="0.25">
      <c r="A288" s="2"/>
      <c r="B288" s="2"/>
      <c r="C288" s="2"/>
      <c r="D288" s="2"/>
      <c r="E288" s="2"/>
      <c r="F288" s="2"/>
      <c r="G288" s="2"/>
      <c r="H288" s="2"/>
      <c r="I288" s="2"/>
      <c r="J288" s="2"/>
      <c r="K288" s="2"/>
      <c r="L288" s="2"/>
      <c r="M288" s="2"/>
      <c r="N288" s="2"/>
      <c r="O288" s="2"/>
      <c r="P288" s="3"/>
      <c r="Q288" s="2"/>
      <c r="R288" s="2"/>
      <c r="S288" s="2"/>
      <c r="T288" s="2"/>
      <c r="U288" s="1"/>
    </row>
    <row r="289" spans="1:21" ht="20.100000000000001" customHeight="1" x14ac:dyDescent="0.25">
      <c r="A289" s="2"/>
      <c r="B289" s="2"/>
      <c r="C289" s="2"/>
      <c r="D289" s="2"/>
      <c r="E289" s="2"/>
      <c r="F289" s="2"/>
      <c r="G289" s="2"/>
      <c r="H289" s="2"/>
      <c r="I289" s="2"/>
      <c r="J289" s="2"/>
      <c r="K289" s="2"/>
      <c r="L289" s="2"/>
      <c r="M289" s="2"/>
      <c r="N289" s="2"/>
      <c r="O289" s="2"/>
      <c r="P289" s="3"/>
      <c r="Q289" s="2"/>
      <c r="R289" s="2"/>
      <c r="S289" s="2"/>
      <c r="T289" s="2"/>
      <c r="U289" s="1"/>
    </row>
    <row r="290" spans="1:21" ht="20.100000000000001" customHeight="1" x14ac:dyDescent="0.25">
      <c r="A290" s="2"/>
      <c r="B290" s="2"/>
      <c r="C290" s="2"/>
      <c r="D290" s="2"/>
      <c r="E290" s="2"/>
      <c r="F290" s="2"/>
      <c r="G290" s="2"/>
      <c r="H290" s="2"/>
      <c r="I290" s="2"/>
      <c r="J290" s="2"/>
      <c r="K290" s="2"/>
      <c r="L290" s="2"/>
      <c r="M290" s="2"/>
      <c r="N290" s="2"/>
      <c r="O290" s="2"/>
      <c r="P290" s="3"/>
      <c r="Q290" s="2"/>
      <c r="R290" s="2"/>
      <c r="S290" s="2"/>
      <c r="T290" s="2"/>
      <c r="U290" s="1"/>
    </row>
    <row r="291" spans="1:21" ht="20.100000000000001" customHeight="1" x14ac:dyDescent="0.25">
      <c r="A291" s="2"/>
      <c r="B291" s="2"/>
      <c r="C291" s="2"/>
      <c r="D291" s="2"/>
      <c r="E291" s="2"/>
      <c r="F291" s="2"/>
      <c r="G291" s="2"/>
      <c r="H291" s="2"/>
      <c r="I291" s="2"/>
      <c r="J291" s="2"/>
      <c r="K291" s="2"/>
      <c r="L291" s="2"/>
      <c r="M291" s="2"/>
      <c r="N291" s="2"/>
      <c r="O291" s="2"/>
      <c r="P291" s="3"/>
      <c r="Q291" s="2"/>
      <c r="R291" s="2"/>
      <c r="S291" s="2"/>
      <c r="T291" s="2"/>
      <c r="U291" s="1"/>
    </row>
    <row r="292" spans="1:21" ht="20.100000000000001" customHeight="1" x14ac:dyDescent="0.25">
      <c r="A292" s="2"/>
      <c r="B292" s="2"/>
      <c r="C292" s="2"/>
      <c r="D292" s="2"/>
      <c r="E292" s="2"/>
      <c r="F292" s="2"/>
      <c r="G292" s="2"/>
      <c r="H292" s="2"/>
      <c r="I292" s="2"/>
      <c r="J292" s="2"/>
      <c r="K292" s="2"/>
      <c r="L292" s="2"/>
      <c r="M292" s="2"/>
      <c r="N292" s="2"/>
      <c r="O292" s="2"/>
      <c r="P292" s="3"/>
      <c r="Q292" s="2"/>
      <c r="R292" s="2"/>
      <c r="S292" s="2"/>
      <c r="T292" s="2"/>
      <c r="U292" s="1"/>
    </row>
    <row r="293" spans="1:21" ht="20.100000000000001" customHeight="1" x14ac:dyDescent="0.25">
      <c r="A293" s="2"/>
      <c r="B293" s="2"/>
      <c r="C293" s="2"/>
      <c r="D293" s="2"/>
      <c r="E293" s="2"/>
      <c r="F293" s="2"/>
      <c r="G293" s="2"/>
      <c r="H293" s="2"/>
      <c r="I293" s="2"/>
      <c r="J293" s="2"/>
      <c r="K293" s="2"/>
      <c r="L293" s="2"/>
      <c r="M293" s="2"/>
      <c r="N293" s="2"/>
      <c r="O293" s="2"/>
      <c r="P293" s="3"/>
      <c r="Q293" s="2"/>
      <c r="R293" s="2"/>
      <c r="S293" s="2"/>
      <c r="T293" s="2"/>
      <c r="U293" s="1"/>
    </row>
    <row r="294" spans="1:21" ht="20.100000000000001" customHeight="1" x14ac:dyDescent="0.25">
      <c r="U294" s="1"/>
    </row>
    <row r="295" spans="1:21" ht="20.100000000000001" customHeight="1" x14ac:dyDescent="0.25">
      <c r="U295" s="1"/>
    </row>
    <row r="296" spans="1:21" ht="20.100000000000001" customHeight="1" x14ac:dyDescent="0.25">
      <c r="U296" s="1"/>
    </row>
    <row r="297" spans="1:21" ht="20.100000000000001" customHeight="1" x14ac:dyDescent="0.25">
      <c r="U297" s="1"/>
    </row>
    <row r="298" spans="1:21" ht="20.100000000000001" customHeight="1" x14ac:dyDescent="0.25">
      <c r="U298" s="1"/>
    </row>
    <row r="299" spans="1:21" ht="20.100000000000001" customHeight="1" x14ac:dyDescent="0.25">
      <c r="U299" s="1"/>
    </row>
    <row r="300" spans="1:21" ht="20.100000000000001" customHeight="1" x14ac:dyDescent="0.25">
      <c r="U300" s="1"/>
    </row>
    <row r="301" spans="1:21" ht="20.100000000000001" customHeight="1" x14ac:dyDescent="0.25">
      <c r="U301" s="1"/>
    </row>
    <row r="302" spans="1:21" ht="20.100000000000001" customHeight="1" x14ac:dyDescent="0.25">
      <c r="U302" s="1"/>
    </row>
    <row r="303" spans="1:21" ht="20.100000000000001" customHeight="1" x14ac:dyDescent="0.25">
      <c r="U303" s="1"/>
    </row>
    <row r="304" spans="1:21" ht="20.100000000000001" customHeight="1" x14ac:dyDescent="0.25">
      <c r="U304" s="1"/>
    </row>
    <row r="305" spans="21:21" ht="20.100000000000001" customHeight="1" x14ac:dyDescent="0.25">
      <c r="U305" s="1"/>
    </row>
    <row r="306" spans="21:21" ht="20.100000000000001" customHeight="1" x14ac:dyDescent="0.25">
      <c r="U306" s="1"/>
    </row>
    <row r="307" spans="21:21" ht="20.100000000000001" customHeight="1" x14ac:dyDescent="0.25">
      <c r="U307" s="1"/>
    </row>
    <row r="308" spans="21:21" ht="20.100000000000001" customHeight="1" x14ac:dyDescent="0.25">
      <c r="U308" s="1"/>
    </row>
    <row r="309" spans="21:21" ht="20.100000000000001" customHeight="1" x14ac:dyDescent="0.25">
      <c r="U309" s="1"/>
    </row>
    <row r="310" spans="21:21" ht="20.100000000000001" customHeight="1" x14ac:dyDescent="0.25">
      <c r="U310" s="1"/>
    </row>
    <row r="311" spans="21:21" ht="20.100000000000001" customHeight="1" x14ac:dyDescent="0.25">
      <c r="U311" s="1"/>
    </row>
    <row r="312" spans="21:21" ht="20.100000000000001" customHeight="1" x14ac:dyDescent="0.25">
      <c r="U312" s="1"/>
    </row>
    <row r="313" spans="21:21" ht="20.100000000000001" customHeight="1" x14ac:dyDescent="0.25">
      <c r="U313" s="1"/>
    </row>
    <row r="314" spans="21:21" ht="20.100000000000001" customHeight="1" x14ac:dyDescent="0.25">
      <c r="U314" s="1"/>
    </row>
    <row r="315" spans="21:21" ht="20.100000000000001" customHeight="1" x14ac:dyDescent="0.25">
      <c r="U315" s="1"/>
    </row>
    <row r="316" spans="21:21" ht="20.100000000000001" customHeight="1" x14ac:dyDescent="0.25">
      <c r="U316" s="1"/>
    </row>
    <row r="317" spans="21:21" ht="20.100000000000001" customHeight="1" x14ac:dyDescent="0.25">
      <c r="U317" s="1"/>
    </row>
    <row r="318" spans="21:21" ht="20.100000000000001" customHeight="1" x14ac:dyDescent="0.25">
      <c r="U318" s="1"/>
    </row>
    <row r="319" spans="21:21" ht="20.100000000000001" customHeight="1" x14ac:dyDescent="0.25">
      <c r="U319" s="1"/>
    </row>
    <row r="320" spans="21:21" ht="20.100000000000001" customHeight="1" x14ac:dyDescent="0.25">
      <c r="U320" s="1"/>
    </row>
    <row r="321" spans="21:21" ht="20.100000000000001" customHeight="1" x14ac:dyDescent="0.25">
      <c r="U321" s="1"/>
    </row>
    <row r="322" spans="21:21" ht="20.100000000000001" customHeight="1" x14ac:dyDescent="0.25">
      <c r="U322" s="1"/>
    </row>
    <row r="323" spans="21:21" ht="20.100000000000001" customHeight="1" x14ac:dyDescent="0.25">
      <c r="U323" s="1"/>
    </row>
    <row r="324" spans="21:21" ht="20.100000000000001" customHeight="1" x14ac:dyDescent="0.25">
      <c r="U324" s="1"/>
    </row>
    <row r="325" spans="21:21" ht="20.100000000000001" customHeight="1" x14ac:dyDescent="0.25">
      <c r="U325" s="1"/>
    </row>
    <row r="326" spans="21:21" ht="20.100000000000001" customHeight="1" x14ac:dyDescent="0.25">
      <c r="U326" s="1"/>
    </row>
    <row r="327" spans="21:21" ht="20.100000000000001" customHeight="1" x14ac:dyDescent="0.25">
      <c r="U327" s="1"/>
    </row>
    <row r="328" spans="21:21" ht="20.100000000000001" customHeight="1" x14ac:dyDescent="0.25">
      <c r="U328" s="1"/>
    </row>
    <row r="329" spans="21:21" ht="20.100000000000001" customHeight="1" x14ac:dyDescent="0.25">
      <c r="U329" s="1"/>
    </row>
    <row r="330" spans="21:21" ht="20.100000000000001" customHeight="1" x14ac:dyDescent="0.25">
      <c r="U330" s="1"/>
    </row>
    <row r="331" spans="21:21" ht="20.100000000000001" customHeight="1" x14ac:dyDescent="0.25">
      <c r="U331" s="1"/>
    </row>
    <row r="332" spans="21:21" ht="20.100000000000001" customHeight="1" x14ac:dyDescent="0.25">
      <c r="U332" s="1"/>
    </row>
    <row r="333" spans="21:21" ht="20.100000000000001" customHeight="1" x14ac:dyDescent="0.25">
      <c r="U333" s="1"/>
    </row>
    <row r="334" spans="21:21" ht="20.100000000000001" customHeight="1" x14ac:dyDescent="0.25">
      <c r="U334" s="1"/>
    </row>
    <row r="335" spans="21:21" ht="20.100000000000001" customHeight="1" x14ac:dyDescent="0.25">
      <c r="U335" s="1"/>
    </row>
    <row r="336" spans="21:21" ht="20.100000000000001" customHeight="1" x14ac:dyDescent="0.25">
      <c r="U336" s="1"/>
    </row>
    <row r="337" spans="21:21" ht="20.100000000000001" customHeight="1" x14ac:dyDescent="0.25">
      <c r="U337" s="1"/>
    </row>
    <row r="338" spans="21:21" ht="20.100000000000001" customHeight="1" x14ac:dyDescent="0.25">
      <c r="U338" s="1"/>
    </row>
    <row r="339" spans="21:21" ht="20.100000000000001" customHeight="1" x14ac:dyDescent="0.25">
      <c r="U339" s="1"/>
    </row>
    <row r="340" spans="21:21" ht="20.100000000000001" customHeight="1" x14ac:dyDescent="0.25">
      <c r="U340" s="1"/>
    </row>
    <row r="341" spans="21:21" ht="20.100000000000001" customHeight="1" x14ac:dyDescent="0.25">
      <c r="U341" s="1"/>
    </row>
    <row r="342" spans="21:21" ht="20.100000000000001" customHeight="1" x14ac:dyDescent="0.25">
      <c r="U342" s="1"/>
    </row>
    <row r="343" spans="21:21" ht="20.100000000000001" customHeight="1" x14ac:dyDescent="0.25">
      <c r="U343" s="1"/>
    </row>
    <row r="344" spans="21:21" ht="20.100000000000001" customHeight="1" x14ac:dyDescent="0.25">
      <c r="U344" s="1"/>
    </row>
    <row r="345" spans="21:21" ht="20.100000000000001" customHeight="1" x14ac:dyDescent="0.25">
      <c r="U345" s="1"/>
    </row>
    <row r="346" spans="21:21" ht="20.100000000000001" customHeight="1" x14ac:dyDescent="0.25">
      <c r="U346" s="1"/>
    </row>
    <row r="347" spans="21:21" ht="20.100000000000001" customHeight="1" x14ac:dyDescent="0.25">
      <c r="U347" s="1"/>
    </row>
    <row r="348" spans="21:21" ht="20.100000000000001" customHeight="1" x14ac:dyDescent="0.25">
      <c r="U348" s="1"/>
    </row>
    <row r="349" spans="21:21" ht="20.100000000000001" customHeight="1" x14ac:dyDescent="0.25">
      <c r="U349" s="1"/>
    </row>
    <row r="350" spans="21:21" ht="20.100000000000001" customHeight="1" x14ac:dyDescent="0.25">
      <c r="U350" s="1"/>
    </row>
    <row r="351" spans="21:21" ht="20.100000000000001" customHeight="1" x14ac:dyDescent="0.25">
      <c r="U351" s="1"/>
    </row>
    <row r="352" spans="21:21" ht="20.100000000000001" customHeight="1" x14ac:dyDescent="0.25">
      <c r="U352" s="1"/>
    </row>
    <row r="353" spans="21:21" ht="20.100000000000001" customHeight="1" x14ac:dyDescent="0.25">
      <c r="U353" s="1"/>
    </row>
    <row r="354" spans="21:21" ht="20.100000000000001" customHeight="1" x14ac:dyDescent="0.25">
      <c r="U354" s="1"/>
    </row>
    <row r="355" spans="21:21" ht="20.100000000000001" customHeight="1" x14ac:dyDescent="0.25">
      <c r="U355" s="1"/>
    </row>
    <row r="356" spans="21:21" ht="20.100000000000001" customHeight="1" x14ac:dyDescent="0.25">
      <c r="U356" s="1"/>
    </row>
    <row r="357" spans="21:21" ht="20.100000000000001" customHeight="1" x14ac:dyDescent="0.25">
      <c r="U357" s="1"/>
    </row>
    <row r="358" spans="21:21" ht="20.100000000000001" customHeight="1" x14ac:dyDescent="0.25">
      <c r="U358" s="1"/>
    </row>
    <row r="359" spans="21:21" ht="20.100000000000001" customHeight="1" x14ac:dyDescent="0.25">
      <c r="U359" s="1"/>
    </row>
    <row r="360" spans="21:21" ht="20.100000000000001" customHeight="1" x14ac:dyDescent="0.25">
      <c r="U360" s="1"/>
    </row>
    <row r="361" spans="21:21" ht="20.100000000000001" customHeight="1" x14ac:dyDescent="0.25">
      <c r="U361" s="1"/>
    </row>
    <row r="362" spans="21:21" ht="20.100000000000001" customHeight="1" x14ac:dyDescent="0.25">
      <c r="U362" s="1"/>
    </row>
    <row r="363" spans="21:21" ht="20.100000000000001" customHeight="1" x14ac:dyDescent="0.25">
      <c r="U363" s="1"/>
    </row>
    <row r="364" spans="21:21" ht="20.100000000000001" customHeight="1" x14ac:dyDescent="0.25">
      <c r="U364" s="1"/>
    </row>
    <row r="365" spans="21:21" ht="20.100000000000001" customHeight="1" x14ac:dyDescent="0.25">
      <c r="U365" s="1"/>
    </row>
    <row r="366" spans="21:21" ht="20.100000000000001" customHeight="1" x14ac:dyDescent="0.25">
      <c r="U366" s="1"/>
    </row>
    <row r="367" spans="21:21" ht="20.100000000000001" customHeight="1" x14ac:dyDescent="0.25">
      <c r="U367" s="1"/>
    </row>
    <row r="368" spans="21:21" ht="20.100000000000001" customHeight="1" x14ac:dyDescent="0.25">
      <c r="U368" s="1"/>
    </row>
    <row r="369" spans="21:21" ht="20.100000000000001" customHeight="1" x14ac:dyDescent="0.25">
      <c r="U369" s="1"/>
    </row>
    <row r="370" spans="21:21" ht="20.100000000000001" customHeight="1" x14ac:dyDescent="0.25">
      <c r="U370" s="1"/>
    </row>
    <row r="371" spans="21:21" ht="20.100000000000001" customHeight="1" x14ac:dyDescent="0.25">
      <c r="U371" s="1"/>
    </row>
    <row r="372" spans="21:21" ht="20.100000000000001" customHeight="1" x14ac:dyDescent="0.25">
      <c r="U372" s="1"/>
    </row>
    <row r="373" spans="21:21" ht="20.100000000000001" customHeight="1" x14ac:dyDescent="0.25">
      <c r="U373" s="1"/>
    </row>
    <row r="374" spans="21:21" ht="20.100000000000001" customHeight="1" x14ac:dyDescent="0.25">
      <c r="U374" s="1"/>
    </row>
    <row r="375" spans="21:21" ht="20.100000000000001" customHeight="1" x14ac:dyDescent="0.25">
      <c r="U375" s="1"/>
    </row>
    <row r="376" spans="21:21" ht="20.100000000000001" customHeight="1" x14ac:dyDescent="0.25">
      <c r="U376" s="1"/>
    </row>
    <row r="377" spans="21:21" ht="20.100000000000001" customHeight="1" x14ac:dyDescent="0.25">
      <c r="U377" s="1"/>
    </row>
    <row r="378" spans="21:21" ht="20.100000000000001" customHeight="1" x14ac:dyDescent="0.25">
      <c r="U378" s="1"/>
    </row>
    <row r="379" spans="21:21" ht="20.100000000000001" customHeight="1" x14ac:dyDescent="0.25">
      <c r="U379" s="1"/>
    </row>
    <row r="380" spans="21:21" ht="20.100000000000001" customHeight="1" x14ac:dyDescent="0.25">
      <c r="U380" s="1"/>
    </row>
    <row r="381" spans="21:21" ht="20.100000000000001" customHeight="1" x14ac:dyDescent="0.25">
      <c r="U381" s="1"/>
    </row>
    <row r="382" spans="21:21" ht="20.100000000000001" customHeight="1" x14ac:dyDescent="0.25">
      <c r="U382" s="1"/>
    </row>
    <row r="383" spans="21:21" ht="20.100000000000001" customHeight="1" x14ac:dyDescent="0.25">
      <c r="U383" s="1"/>
    </row>
    <row r="384" spans="21:21" ht="20.100000000000001" customHeight="1" x14ac:dyDescent="0.25">
      <c r="U384" s="1"/>
    </row>
    <row r="385" spans="21:21" ht="20.100000000000001" customHeight="1" x14ac:dyDescent="0.25">
      <c r="U385" s="1"/>
    </row>
    <row r="386" spans="21:21" ht="20.100000000000001" customHeight="1" x14ac:dyDescent="0.25">
      <c r="U386" s="1"/>
    </row>
    <row r="387" spans="21:21" ht="20.100000000000001" customHeight="1" x14ac:dyDescent="0.25">
      <c r="U387" s="1"/>
    </row>
    <row r="388" spans="21:21" ht="20.100000000000001" customHeight="1" x14ac:dyDescent="0.25">
      <c r="U388" s="1"/>
    </row>
    <row r="389" spans="21:21" ht="20.100000000000001" customHeight="1" x14ac:dyDescent="0.25">
      <c r="U389" s="1"/>
    </row>
    <row r="390" spans="21:21" ht="20.100000000000001" customHeight="1" x14ac:dyDescent="0.25">
      <c r="U390" s="1"/>
    </row>
    <row r="391" spans="21:21" ht="20.100000000000001" customHeight="1" x14ac:dyDescent="0.25">
      <c r="U391" s="1"/>
    </row>
    <row r="392" spans="21:21" ht="20.100000000000001" customHeight="1" x14ac:dyDescent="0.25">
      <c r="U392" s="1"/>
    </row>
    <row r="393" spans="21:21" ht="20.100000000000001" customHeight="1" x14ac:dyDescent="0.25">
      <c r="U393" s="1"/>
    </row>
    <row r="394" spans="21:21" ht="20.100000000000001" customHeight="1" x14ac:dyDescent="0.25">
      <c r="U394" s="1"/>
    </row>
    <row r="395" spans="21:21" ht="20.100000000000001" customHeight="1" x14ac:dyDescent="0.25">
      <c r="U395" s="1"/>
    </row>
    <row r="396" spans="21:21" ht="20.100000000000001" customHeight="1" x14ac:dyDescent="0.25">
      <c r="U396" s="1"/>
    </row>
    <row r="397" spans="21:21" ht="20.100000000000001" customHeight="1" x14ac:dyDescent="0.25">
      <c r="U397" s="1"/>
    </row>
    <row r="398" spans="21:21" ht="20.100000000000001" customHeight="1" x14ac:dyDescent="0.25">
      <c r="U398" s="1"/>
    </row>
    <row r="399" spans="21:21" ht="20.100000000000001" customHeight="1" x14ac:dyDescent="0.25">
      <c r="U399" s="1"/>
    </row>
    <row r="400" spans="21:21" ht="20.100000000000001" customHeight="1" x14ac:dyDescent="0.25">
      <c r="U400" s="1"/>
    </row>
    <row r="401" spans="21:21" ht="20.100000000000001" customHeight="1" x14ac:dyDescent="0.25">
      <c r="U401" s="1"/>
    </row>
    <row r="402" spans="21:21" ht="20.100000000000001" customHeight="1" x14ac:dyDescent="0.25">
      <c r="U402" s="1"/>
    </row>
    <row r="403" spans="21:21" ht="20.100000000000001" customHeight="1" x14ac:dyDescent="0.25">
      <c r="U403" s="1"/>
    </row>
    <row r="404" spans="21:21" ht="20.100000000000001" customHeight="1" x14ac:dyDescent="0.25">
      <c r="U404" s="1"/>
    </row>
    <row r="405" spans="21:21" ht="20.100000000000001" customHeight="1" x14ac:dyDescent="0.25">
      <c r="U405" s="1"/>
    </row>
    <row r="406" spans="21:21" ht="20.100000000000001" customHeight="1" x14ac:dyDescent="0.25">
      <c r="U406" s="1"/>
    </row>
    <row r="407" spans="21:21" ht="20.100000000000001" customHeight="1" x14ac:dyDescent="0.25">
      <c r="U407" s="1"/>
    </row>
    <row r="408" spans="21:21" ht="20.100000000000001" customHeight="1" x14ac:dyDescent="0.25">
      <c r="U408" s="1"/>
    </row>
    <row r="409" spans="21:21" ht="20.100000000000001" customHeight="1" x14ac:dyDescent="0.25">
      <c r="U409" s="1"/>
    </row>
    <row r="410" spans="21:21" ht="20.100000000000001" customHeight="1" x14ac:dyDescent="0.25">
      <c r="U410" s="1"/>
    </row>
    <row r="411" spans="21:21" ht="20.100000000000001" customHeight="1" x14ac:dyDescent="0.25">
      <c r="U411" s="1"/>
    </row>
    <row r="412" spans="21:21" ht="20.100000000000001" customHeight="1" x14ac:dyDescent="0.25">
      <c r="U412" s="1"/>
    </row>
    <row r="413" spans="21:21" ht="20.100000000000001" customHeight="1" x14ac:dyDescent="0.25">
      <c r="U413" s="1"/>
    </row>
    <row r="414" spans="21:21" ht="20.100000000000001" customHeight="1" x14ac:dyDescent="0.25">
      <c r="U414" s="1"/>
    </row>
    <row r="415" spans="21:21" ht="20.100000000000001" customHeight="1" x14ac:dyDescent="0.25">
      <c r="U415" s="1"/>
    </row>
    <row r="416" spans="21:21" ht="20.100000000000001" customHeight="1" x14ac:dyDescent="0.25">
      <c r="U416" s="1"/>
    </row>
    <row r="417" spans="21:21" ht="20.100000000000001" customHeight="1" x14ac:dyDescent="0.25">
      <c r="U417" s="1"/>
    </row>
    <row r="418" spans="21:21" ht="20.100000000000001" customHeight="1" x14ac:dyDescent="0.25">
      <c r="U418" s="1"/>
    </row>
    <row r="419" spans="21:21" ht="20.100000000000001" customHeight="1" x14ac:dyDescent="0.25">
      <c r="U419" s="1"/>
    </row>
    <row r="420" spans="21:21" ht="20.100000000000001" customHeight="1" x14ac:dyDescent="0.25">
      <c r="U420" s="1"/>
    </row>
    <row r="421" spans="21:21" ht="20.100000000000001" customHeight="1" x14ac:dyDescent="0.25">
      <c r="U421" s="1"/>
    </row>
    <row r="422" spans="21:21" ht="20.100000000000001" customHeight="1" x14ac:dyDescent="0.25">
      <c r="U422" s="1"/>
    </row>
    <row r="423" spans="21:21" ht="20.100000000000001" customHeight="1" x14ac:dyDescent="0.25">
      <c r="U423" s="1"/>
    </row>
    <row r="424" spans="21:21" ht="20.100000000000001" customHeight="1" x14ac:dyDescent="0.25">
      <c r="U424" s="1"/>
    </row>
    <row r="425" spans="21:21" ht="20.100000000000001" customHeight="1" x14ac:dyDescent="0.25">
      <c r="U425" s="1"/>
    </row>
    <row r="426" spans="21:21" ht="20.100000000000001" customHeight="1" x14ac:dyDescent="0.25">
      <c r="U426" s="1"/>
    </row>
    <row r="427" spans="21:21" ht="20.100000000000001" customHeight="1" x14ac:dyDescent="0.25">
      <c r="U427" s="1"/>
    </row>
    <row r="428" spans="21:21" ht="20.100000000000001" customHeight="1" x14ac:dyDescent="0.25">
      <c r="U428" s="1"/>
    </row>
    <row r="429" spans="21:21" ht="20.100000000000001" customHeight="1" x14ac:dyDescent="0.25">
      <c r="U429" s="1"/>
    </row>
    <row r="430" spans="21:21" ht="20.100000000000001" customHeight="1" x14ac:dyDescent="0.25">
      <c r="U430" s="1"/>
    </row>
    <row r="431" spans="21:21" ht="20.100000000000001" customHeight="1" x14ac:dyDescent="0.25">
      <c r="U431" s="1"/>
    </row>
    <row r="432" spans="21:21" ht="20.100000000000001" customHeight="1" x14ac:dyDescent="0.25">
      <c r="U432" s="1"/>
    </row>
    <row r="433" spans="21:21" ht="20.100000000000001" customHeight="1" x14ac:dyDescent="0.25">
      <c r="U433" s="1"/>
    </row>
    <row r="434" spans="21:21" ht="20.100000000000001" customHeight="1" x14ac:dyDescent="0.25">
      <c r="U434" s="1"/>
    </row>
    <row r="435" spans="21:21" ht="20.100000000000001" customHeight="1" x14ac:dyDescent="0.25">
      <c r="U435" s="1"/>
    </row>
    <row r="436" spans="21:21" ht="20.100000000000001" customHeight="1" x14ac:dyDescent="0.25">
      <c r="U436" s="1"/>
    </row>
    <row r="437" spans="21:21" ht="20.100000000000001" customHeight="1" x14ac:dyDescent="0.25">
      <c r="U437" s="1"/>
    </row>
    <row r="438" spans="21:21" ht="20.100000000000001" customHeight="1" x14ac:dyDescent="0.25">
      <c r="U438" s="1"/>
    </row>
    <row r="439" spans="21:21" ht="20.100000000000001" customHeight="1" x14ac:dyDescent="0.25">
      <c r="U439" s="1"/>
    </row>
    <row r="440" spans="21:21" ht="20.100000000000001" customHeight="1" x14ac:dyDescent="0.25">
      <c r="U440" s="1"/>
    </row>
    <row r="441" spans="21:21" ht="20.100000000000001" customHeight="1" x14ac:dyDescent="0.25">
      <c r="U441" s="1"/>
    </row>
    <row r="442" spans="21:21" ht="20.100000000000001" customHeight="1" x14ac:dyDescent="0.25">
      <c r="U442" s="1"/>
    </row>
    <row r="443" spans="21:21" ht="20.100000000000001" customHeight="1" x14ac:dyDescent="0.25">
      <c r="U443" s="1"/>
    </row>
    <row r="444" spans="21:21" ht="20.100000000000001" customHeight="1" x14ac:dyDescent="0.25">
      <c r="U444" s="1"/>
    </row>
    <row r="445" spans="21:21" ht="20.100000000000001" customHeight="1" x14ac:dyDescent="0.25">
      <c r="U445" s="1"/>
    </row>
    <row r="446" spans="21:21" ht="20.100000000000001" customHeight="1" x14ac:dyDescent="0.25">
      <c r="U446" s="1"/>
    </row>
    <row r="447" spans="21:21" ht="20.100000000000001" customHeight="1" x14ac:dyDescent="0.25">
      <c r="U447" s="1"/>
    </row>
    <row r="448" spans="21:21" ht="20.100000000000001" customHeight="1" x14ac:dyDescent="0.25">
      <c r="U448" s="1"/>
    </row>
    <row r="449" spans="21:21" ht="20.100000000000001" customHeight="1" x14ac:dyDescent="0.25">
      <c r="U449" s="1"/>
    </row>
    <row r="450" spans="21:21" ht="20.100000000000001" customHeight="1" x14ac:dyDescent="0.25">
      <c r="U450" s="1"/>
    </row>
    <row r="451" spans="21:21" ht="20.100000000000001" customHeight="1" x14ac:dyDescent="0.25">
      <c r="U451" s="1"/>
    </row>
    <row r="452" spans="21:21" ht="20.100000000000001" customHeight="1" x14ac:dyDescent="0.25">
      <c r="U452" s="1"/>
    </row>
    <row r="453" spans="21:21" ht="20.100000000000001" customHeight="1" x14ac:dyDescent="0.25">
      <c r="U453" s="1"/>
    </row>
    <row r="454" spans="21:21" ht="20.100000000000001" customHeight="1" x14ac:dyDescent="0.25">
      <c r="U454" s="1"/>
    </row>
    <row r="455" spans="21:21" ht="20.100000000000001" customHeight="1" x14ac:dyDescent="0.25">
      <c r="U455" s="1"/>
    </row>
    <row r="456" spans="21:21" ht="20.100000000000001" customHeight="1" x14ac:dyDescent="0.25">
      <c r="U456" s="1"/>
    </row>
    <row r="457" spans="21:21" ht="20.100000000000001" customHeight="1" x14ac:dyDescent="0.25">
      <c r="U457" s="1"/>
    </row>
    <row r="458" spans="21:21" ht="20.100000000000001" customHeight="1" x14ac:dyDescent="0.25">
      <c r="U458" s="1"/>
    </row>
    <row r="459" spans="21:21" ht="20.100000000000001" customHeight="1" x14ac:dyDescent="0.25">
      <c r="U459" s="1"/>
    </row>
    <row r="460" spans="21:21" ht="20.100000000000001" customHeight="1" x14ac:dyDescent="0.25">
      <c r="U460" s="1"/>
    </row>
    <row r="461" spans="21:21" ht="20.100000000000001" customHeight="1" x14ac:dyDescent="0.25">
      <c r="U461" s="1"/>
    </row>
    <row r="462" spans="21:21" ht="20.100000000000001" customHeight="1" x14ac:dyDescent="0.25">
      <c r="U462" s="1"/>
    </row>
    <row r="463" spans="21:21" ht="20.100000000000001" customHeight="1" x14ac:dyDescent="0.25">
      <c r="U463" s="1"/>
    </row>
    <row r="464" spans="21:21" ht="20.100000000000001" customHeight="1" x14ac:dyDescent="0.25">
      <c r="U464" s="1"/>
    </row>
    <row r="465" spans="21:21" ht="20.100000000000001" customHeight="1" x14ac:dyDescent="0.25">
      <c r="U465" s="1"/>
    </row>
    <row r="466" spans="21:21" ht="20.100000000000001" customHeight="1" x14ac:dyDescent="0.25">
      <c r="U466" s="1"/>
    </row>
    <row r="467" spans="21:21" ht="20.100000000000001" customHeight="1" x14ac:dyDescent="0.25">
      <c r="U467" s="1"/>
    </row>
    <row r="468" spans="21:21" ht="20.100000000000001" customHeight="1" x14ac:dyDescent="0.25">
      <c r="U468" s="1"/>
    </row>
    <row r="469" spans="21:21" ht="20.100000000000001" customHeight="1" x14ac:dyDescent="0.25">
      <c r="U469" s="1"/>
    </row>
    <row r="470" spans="21:21" ht="20.100000000000001" customHeight="1" x14ac:dyDescent="0.25">
      <c r="U470" s="1"/>
    </row>
    <row r="471" spans="21:21" ht="20.100000000000001" customHeight="1" x14ac:dyDescent="0.25">
      <c r="U471" s="1"/>
    </row>
    <row r="472" spans="21:21" ht="20.100000000000001" customHeight="1" x14ac:dyDescent="0.25">
      <c r="U472" s="1"/>
    </row>
    <row r="473" spans="21:21" ht="20.100000000000001" customHeight="1" x14ac:dyDescent="0.25">
      <c r="U473" s="1"/>
    </row>
    <row r="474" spans="21:21" ht="20.100000000000001" customHeight="1" x14ac:dyDescent="0.25">
      <c r="U474" s="1"/>
    </row>
    <row r="475" spans="21:21" ht="20.100000000000001" customHeight="1" x14ac:dyDescent="0.25">
      <c r="U475" s="1"/>
    </row>
    <row r="476" spans="21:21" ht="20.100000000000001" customHeight="1" x14ac:dyDescent="0.25">
      <c r="U476" s="1"/>
    </row>
    <row r="477" spans="21:21" ht="20.100000000000001" customHeight="1" x14ac:dyDescent="0.25">
      <c r="U477" s="1"/>
    </row>
    <row r="478" spans="21:21" ht="20.100000000000001" customHeight="1" x14ac:dyDescent="0.25">
      <c r="U478" s="1"/>
    </row>
    <row r="479" spans="21:21" ht="20.100000000000001" customHeight="1" x14ac:dyDescent="0.25">
      <c r="U479" s="1"/>
    </row>
    <row r="480" spans="21:21" ht="20.100000000000001" customHeight="1" x14ac:dyDescent="0.25">
      <c r="U480" s="1"/>
    </row>
    <row r="481" spans="21:21" ht="20.100000000000001" customHeight="1" x14ac:dyDescent="0.25">
      <c r="U481" s="1"/>
    </row>
    <row r="482" spans="21:21" ht="20.100000000000001" customHeight="1" x14ac:dyDescent="0.25">
      <c r="U482" s="1"/>
    </row>
    <row r="483" spans="21:21" ht="20.100000000000001" customHeight="1" x14ac:dyDescent="0.25">
      <c r="U483" s="1"/>
    </row>
    <row r="484" spans="21:21" ht="20.100000000000001" customHeight="1" x14ac:dyDescent="0.25">
      <c r="U484" s="1"/>
    </row>
    <row r="485" spans="21:21" ht="20.100000000000001" customHeight="1" x14ac:dyDescent="0.25">
      <c r="U485" s="1"/>
    </row>
    <row r="486" spans="21:21" ht="20.100000000000001" customHeight="1" x14ac:dyDescent="0.25">
      <c r="U486" s="1"/>
    </row>
    <row r="487" spans="21:21" ht="20.100000000000001" customHeight="1" x14ac:dyDescent="0.25">
      <c r="U487" s="1"/>
    </row>
    <row r="488" spans="21:21" ht="20.100000000000001" customHeight="1" x14ac:dyDescent="0.25">
      <c r="U488" s="1"/>
    </row>
    <row r="489" spans="21:21" ht="20.100000000000001" customHeight="1" x14ac:dyDescent="0.25">
      <c r="U489" s="1"/>
    </row>
    <row r="490" spans="21:21" ht="20.100000000000001" customHeight="1" x14ac:dyDescent="0.25">
      <c r="U490" s="1"/>
    </row>
    <row r="491" spans="21:21" ht="20.100000000000001" customHeight="1" x14ac:dyDescent="0.25">
      <c r="U491" s="1"/>
    </row>
    <row r="492" spans="21:21" ht="20.100000000000001" customHeight="1" x14ac:dyDescent="0.25">
      <c r="U492" s="1"/>
    </row>
    <row r="493" spans="21:21" ht="20.100000000000001" customHeight="1" x14ac:dyDescent="0.25">
      <c r="U493" s="1"/>
    </row>
    <row r="494" spans="21:21" ht="20.100000000000001" customHeight="1" x14ac:dyDescent="0.25">
      <c r="U494" s="1"/>
    </row>
    <row r="495" spans="21:21" ht="20.100000000000001" customHeight="1" x14ac:dyDescent="0.25">
      <c r="U495" s="1"/>
    </row>
    <row r="496" spans="21:21" ht="20.100000000000001" customHeight="1" x14ac:dyDescent="0.25">
      <c r="U496" s="1"/>
    </row>
    <row r="497" spans="21:21" ht="20.100000000000001" customHeight="1" x14ac:dyDescent="0.25">
      <c r="U497" s="1"/>
    </row>
    <row r="498" spans="21:21" ht="20.100000000000001" customHeight="1" x14ac:dyDescent="0.25">
      <c r="U498" s="1"/>
    </row>
    <row r="499" spans="21:21" ht="20.100000000000001" customHeight="1" x14ac:dyDescent="0.25">
      <c r="U499" s="1"/>
    </row>
    <row r="500" spans="21:21" ht="20.100000000000001" customHeight="1" x14ac:dyDescent="0.25">
      <c r="U500" s="1"/>
    </row>
    <row r="501" spans="21:21" ht="20.100000000000001" customHeight="1" x14ac:dyDescent="0.25">
      <c r="U501" s="1"/>
    </row>
    <row r="502" spans="21:21" ht="20.100000000000001" customHeight="1" x14ac:dyDescent="0.25">
      <c r="U502" s="1"/>
    </row>
    <row r="503" spans="21:21" ht="20.100000000000001" customHeight="1" x14ac:dyDescent="0.25">
      <c r="U503" s="1"/>
    </row>
    <row r="504" spans="21:21" ht="20.100000000000001" customHeight="1" x14ac:dyDescent="0.25">
      <c r="U504" s="1"/>
    </row>
    <row r="505" spans="21:21" ht="20.100000000000001" customHeight="1" x14ac:dyDescent="0.25">
      <c r="U505" s="1"/>
    </row>
    <row r="506" spans="21:21" ht="20.100000000000001" customHeight="1" x14ac:dyDescent="0.25">
      <c r="U506" s="1"/>
    </row>
    <row r="507" spans="21:21" ht="20.100000000000001" customHeight="1" x14ac:dyDescent="0.25">
      <c r="U507" s="1"/>
    </row>
    <row r="508" spans="21:21" ht="20.100000000000001" customHeight="1" x14ac:dyDescent="0.25">
      <c r="U508" s="1"/>
    </row>
    <row r="509" spans="21:21" ht="20.100000000000001" customHeight="1" x14ac:dyDescent="0.25">
      <c r="U509" s="1"/>
    </row>
    <row r="510" spans="21:21" ht="20.100000000000001" customHeight="1" x14ac:dyDescent="0.25">
      <c r="U510" s="1"/>
    </row>
    <row r="511" spans="21:21" ht="20.100000000000001" customHeight="1" x14ac:dyDescent="0.25">
      <c r="U511" s="1"/>
    </row>
    <row r="512" spans="21:21" ht="20.100000000000001" customHeight="1" x14ac:dyDescent="0.25">
      <c r="U512" s="1"/>
    </row>
    <row r="513" spans="21:21" ht="20.100000000000001" customHeight="1" x14ac:dyDescent="0.25">
      <c r="U513" s="1"/>
    </row>
    <row r="514" spans="21:21" ht="20.100000000000001" customHeight="1" x14ac:dyDescent="0.25">
      <c r="U514" s="1"/>
    </row>
    <row r="515" spans="21:21" ht="20.100000000000001" customHeight="1" x14ac:dyDescent="0.25">
      <c r="U515" s="1"/>
    </row>
    <row r="516" spans="21:21" ht="20.100000000000001" customHeight="1" x14ac:dyDescent="0.25">
      <c r="U516" s="1"/>
    </row>
    <row r="517" spans="21:21" ht="20.100000000000001" customHeight="1" x14ac:dyDescent="0.25">
      <c r="U517" s="1"/>
    </row>
    <row r="518" spans="21:21" ht="20.100000000000001" customHeight="1" x14ac:dyDescent="0.25">
      <c r="U518" s="1"/>
    </row>
    <row r="519" spans="21:21" ht="20.100000000000001" customHeight="1" x14ac:dyDescent="0.25">
      <c r="U519" s="1"/>
    </row>
    <row r="520" spans="21:21" ht="20.100000000000001" customHeight="1" x14ac:dyDescent="0.25">
      <c r="U520" s="1"/>
    </row>
    <row r="521" spans="21:21" ht="20.100000000000001" customHeight="1" x14ac:dyDescent="0.25">
      <c r="U521" s="1"/>
    </row>
    <row r="522" spans="21:21" ht="20.100000000000001" customHeight="1" x14ac:dyDescent="0.25">
      <c r="U522" s="1"/>
    </row>
    <row r="523" spans="21:21" ht="20.100000000000001" customHeight="1" x14ac:dyDescent="0.25">
      <c r="U523" s="1"/>
    </row>
    <row r="524" spans="21:21" ht="20.100000000000001" customHeight="1" x14ac:dyDescent="0.25">
      <c r="U524" s="1"/>
    </row>
    <row r="525" spans="21:21" ht="20.100000000000001" customHeight="1" x14ac:dyDescent="0.25">
      <c r="U525" s="1"/>
    </row>
    <row r="526" spans="21:21" ht="20.100000000000001" customHeight="1" x14ac:dyDescent="0.25">
      <c r="U526" s="1"/>
    </row>
    <row r="527" spans="21:21" ht="20.100000000000001" customHeight="1" x14ac:dyDescent="0.25">
      <c r="U527" s="1"/>
    </row>
    <row r="528" spans="21:21" ht="20.100000000000001" customHeight="1" x14ac:dyDescent="0.25">
      <c r="U528" s="1"/>
    </row>
    <row r="529" spans="21:21" ht="20.100000000000001" customHeight="1" x14ac:dyDescent="0.25">
      <c r="U529" s="1"/>
    </row>
    <row r="530" spans="21:21" ht="20.100000000000001" customHeight="1" x14ac:dyDescent="0.25">
      <c r="U530" s="1"/>
    </row>
    <row r="531" spans="21:21" ht="20.100000000000001" customHeight="1" x14ac:dyDescent="0.25">
      <c r="U531" s="1"/>
    </row>
    <row r="532" spans="21:21" ht="20.100000000000001" customHeight="1" x14ac:dyDescent="0.25">
      <c r="U532" s="1"/>
    </row>
    <row r="533" spans="21:21" ht="20.100000000000001" customHeight="1" x14ac:dyDescent="0.25">
      <c r="U533" s="1"/>
    </row>
    <row r="534" spans="21:21" ht="20.100000000000001" customHeight="1" x14ac:dyDescent="0.25">
      <c r="U534" s="1"/>
    </row>
    <row r="535" spans="21:21" ht="20.100000000000001" customHeight="1" x14ac:dyDescent="0.25">
      <c r="U535" s="1"/>
    </row>
    <row r="536" spans="21:21" ht="20.100000000000001" customHeight="1" x14ac:dyDescent="0.25">
      <c r="U536" s="1"/>
    </row>
    <row r="537" spans="21:21" ht="20.100000000000001" customHeight="1" x14ac:dyDescent="0.25">
      <c r="U537" s="1"/>
    </row>
    <row r="538" spans="21:21" ht="20.100000000000001" customHeight="1" x14ac:dyDescent="0.25">
      <c r="U538" s="1"/>
    </row>
    <row r="539" spans="21:21" ht="20.100000000000001" customHeight="1" x14ac:dyDescent="0.25">
      <c r="U539" s="1"/>
    </row>
    <row r="540" spans="21:21" ht="20.100000000000001" customHeight="1" x14ac:dyDescent="0.25">
      <c r="U540" s="1"/>
    </row>
    <row r="541" spans="21:21" ht="20.100000000000001" customHeight="1" x14ac:dyDescent="0.25">
      <c r="U541" s="1"/>
    </row>
    <row r="542" spans="21:21" ht="20.100000000000001" customHeight="1" x14ac:dyDescent="0.25">
      <c r="U542" s="1"/>
    </row>
    <row r="543" spans="21:21" ht="20.100000000000001" customHeight="1" x14ac:dyDescent="0.25">
      <c r="U543" s="1"/>
    </row>
    <row r="544" spans="21:21" ht="20.100000000000001" customHeight="1" x14ac:dyDescent="0.25">
      <c r="U544" s="1"/>
    </row>
    <row r="545" spans="21:21" ht="20.100000000000001" customHeight="1" x14ac:dyDescent="0.25">
      <c r="U545" s="1"/>
    </row>
    <row r="546" spans="21:21" ht="20.100000000000001" customHeight="1" x14ac:dyDescent="0.25">
      <c r="U546" s="1"/>
    </row>
    <row r="547" spans="21:21" ht="20.100000000000001" customHeight="1" x14ac:dyDescent="0.25">
      <c r="U547" s="1"/>
    </row>
    <row r="548" spans="21:21" ht="20.100000000000001" customHeight="1" x14ac:dyDescent="0.25">
      <c r="U548" s="1"/>
    </row>
    <row r="549" spans="21:21" ht="20.100000000000001" customHeight="1" x14ac:dyDescent="0.25">
      <c r="U549" s="1"/>
    </row>
    <row r="550" spans="21:21" ht="20.100000000000001" customHeight="1" x14ac:dyDescent="0.25">
      <c r="U550" s="1"/>
    </row>
    <row r="551" spans="21:21" ht="20.100000000000001" customHeight="1" x14ac:dyDescent="0.25">
      <c r="U551" s="1"/>
    </row>
    <row r="552" spans="21:21" ht="20.100000000000001" customHeight="1" x14ac:dyDescent="0.25">
      <c r="U552" s="1"/>
    </row>
    <row r="553" spans="21:21" ht="20.100000000000001" customHeight="1" x14ac:dyDescent="0.25">
      <c r="U553" s="1"/>
    </row>
    <row r="554" spans="21:21" ht="20.100000000000001" customHeight="1" x14ac:dyDescent="0.25">
      <c r="U554" s="1"/>
    </row>
    <row r="555" spans="21:21" ht="20.100000000000001" customHeight="1" x14ac:dyDescent="0.25">
      <c r="U555" s="1"/>
    </row>
    <row r="556" spans="21:21" ht="20.100000000000001" customHeight="1" x14ac:dyDescent="0.25">
      <c r="U556" s="1"/>
    </row>
    <row r="557" spans="21:21" ht="20.100000000000001" customHeight="1" x14ac:dyDescent="0.25">
      <c r="U557" s="1"/>
    </row>
    <row r="558" spans="21:21" ht="20.100000000000001" customHeight="1" x14ac:dyDescent="0.25">
      <c r="U558" s="1"/>
    </row>
    <row r="559" spans="21:21" ht="20.100000000000001" customHeight="1" x14ac:dyDescent="0.25">
      <c r="U559" s="1"/>
    </row>
    <row r="560" spans="21:21" ht="20.100000000000001" customHeight="1" x14ac:dyDescent="0.25">
      <c r="U560" s="1"/>
    </row>
    <row r="561" spans="21:21" ht="20.100000000000001" customHeight="1" x14ac:dyDescent="0.25">
      <c r="U561" s="1"/>
    </row>
    <row r="562" spans="21:21" ht="20.100000000000001" customHeight="1" x14ac:dyDescent="0.25">
      <c r="U562" s="1"/>
    </row>
    <row r="563" spans="21:21" ht="20.100000000000001" customHeight="1" x14ac:dyDescent="0.25">
      <c r="U563" s="1"/>
    </row>
    <row r="564" spans="21:21" ht="20.100000000000001" customHeight="1" x14ac:dyDescent="0.25">
      <c r="U564" s="1"/>
    </row>
    <row r="565" spans="21:21" ht="20.100000000000001" customHeight="1" x14ac:dyDescent="0.25">
      <c r="U565" s="1"/>
    </row>
    <row r="566" spans="21:21" ht="20.100000000000001" customHeight="1" x14ac:dyDescent="0.25">
      <c r="U566" s="1"/>
    </row>
    <row r="567" spans="21:21" ht="20.100000000000001" customHeight="1" x14ac:dyDescent="0.25">
      <c r="U567" s="1"/>
    </row>
    <row r="568" spans="21:21" ht="20.100000000000001" customHeight="1" x14ac:dyDescent="0.25">
      <c r="U568" s="1"/>
    </row>
    <row r="569" spans="21:21" ht="20.100000000000001" customHeight="1" x14ac:dyDescent="0.25">
      <c r="U569" s="1"/>
    </row>
    <row r="570" spans="21:21" ht="20.100000000000001" customHeight="1" x14ac:dyDescent="0.25">
      <c r="U570" s="1"/>
    </row>
    <row r="571" spans="21:21" ht="20.100000000000001" customHeight="1" x14ac:dyDescent="0.25">
      <c r="U571" s="1"/>
    </row>
    <row r="572" spans="21:21" ht="20.100000000000001" customHeight="1" x14ac:dyDescent="0.25">
      <c r="U572" s="1"/>
    </row>
    <row r="573" spans="21:21" ht="20.100000000000001" customHeight="1" x14ac:dyDescent="0.25">
      <c r="U573" s="1"/>
    </row>
    <row r="574" spans="21:21" ht="20.100000000000001" customHeight="1" x14ac:dyDescent="0.25">
      <c r="U574" s="1"/>
    </row>
    <row r="575" spans="21:21" ht="20.100000000000001" customHeight="1" x14ac:dyDescent="0.25">
      <c r="U575" s="1"/>
    </row>
    <row r="576" spans="21:21" ht="20.100000000000001" customHeight="1" x14ac:dyDescent="0.25">
      <c r="U576" s="1"/>
    </row>
    <row r="577" spans="21:21" ht="20.100000000000001" customHeight="1" x14ac:dyDescent="0.25">
      <c r="U577" s="1"/>
    </row>
    <row r="578" spans="21:21" ht="20.100000000000001" customHeight="1" x14ac:dyDescent="0.25">
      <c r="U578" s="1"/>
    </row>
    <row r="579" spans="21:21" ht="20.100000000000001" customHeight="1" x14ac:dyDescent="0.25">
      <c r="U579" s="1"/>
    </row>
    <row r="580" spans="21:21" ht="20.100000000000001" customHeight="1" x14ac:dyDescent="0.25">
      <c r="U580" s="1"/>
    </row>
    <row r="581" spans="21:21" ht="20.100000000000001" customHeight="1" x14ac:dyDescent="0.25">
      <c r="U581" s="1"/>
    </row>
    <row r="582" spans="21:21" ht="20.100000000000001" customHeight="1" x14ac:dyDescent="0.25">
      <c r="U582" s="1"/>
    </row>
    <row r="583" spans="21:21" ht="20.100000000000001" customHeight="1" x14ac:dyDescent="0.25">
      <c r="U583" s="1"/>
    </row>
    <row r="584" spans="21:21" ht="20.100000000000001" customHeight="1" x14ac:dyDescent="0.25">
      <c r="U584" s="1"/>
    </row>
    <row r="585" spans="21:21" ht="20.100000000000001" customHeight="1" x14ac:dyDescent="0.25">
      <c r="U585" s="1"/>
    </row>
    <row r="586" spans="21:21" ht="20.100000000000001" customHeight="1" x14ac:dyDescent="0.25">
      <c r="U586" s="1"/>
    </row>
    <row r="587" spans="21:21" ht="20.100000000000001" customHeight="1" x14ac:dyDescent="0.25">
      <c r="U587" s="1"/>
    </row>
    <row r="588" spans="21:21" ht="20.100000000000001" customHeight="1" x14ac:dyDescent="0.25">
      <c r="U588" s="1"/>
    </row>
    <row r="589" spans="21:21" ht="20.100000000000001" customHeight="1" x14ac:dyDescent="0.25">
      <c r="U589" s="1"/>
    </row>
    <row r="590" spans="21:21" ht="20.100000000000001" customHeight="1" x14ac:dyDescent="0.25">
      <c r="U590" s="1"/>
    </row>
    <row r="591" spans="21:21" ht="20.100000000000001" customHeight="1" x14ac:dyDescent="0.25">
      <c r="U591" s="1"/>
    </row>
    <row r="592" spans="21:21" ht="20.100000000000001" customHeight="1" x14ac:dyDescent="0.25">
      <c r="U592" s="1"/>
    </row>
    <row r="593" spans="21:21" ht="20.100000000000001" customHeight="1" x14ac:dyDescent="0.25">
      <c r="U593" s="1"/>
    </row>
    <row r="594" spans="21:21" ht="20.100000000000001" customHeight="1" x14ac:dyDescent="0.25">
      <c r="U594" s="1"/>
    </row>
    <row r="595" spans="21:21" ht="20.100000000000001" customHeight="1" x14ac:dyDescent="0.25">
      <c r="U595" s="1"/>
    </row>
    <row r="596" spans="21:21" ht="20.100000000000001" customHeight="1" x14ac:dyDescent="0.25">
      <c r="U596" s="1"/>
    </row>
    <row r="597" spans="21:21" ht="20.100000000000001" customHeight="1" x14ac:dyDescent="0.25">
      <c r="U597" s="1"/>
    </row>
    <row r="598" spans="21:21" ht="20.100000000000001" customHeight="1" x14ac:dyDescent="0.25">
      <c r="U598" s="1"/>
    </row>
    <row r="599" spans="21:21" ht="20.100000000000001" customHeight="1" x14ac:dyDescent="0.25">
      <c r="U599" s="1"/>
    </row>
    <row r="600" spans="21:21" ht="20.100000000000001" customHeight="1" x14ac:dyDescent="0.25">
      <c r="U600" s="1"/>
    </row>
    <row r="601" spans="21:21" ht="20.100000000000001" customHeight="1" x14ac:dyDescent="0.25">
      <c r="U601" s="1"/>
    </row>
    <row r="602" spans="21:21" ht="20.100000000000001" customHeight="1" x14ac:dyDescent="0.25">
      <c r="U602" s="1"/>
    </row>
    <row r="603" spans="21:21" ht="20.100000000000001" customHeight="1" x14ac:dyDescent="0.25">
      <c r="U603" s="1"/>
    </row>
    <row r="604" spans="21:21" ht="20.100000000000001" customHeight="1" x14ac:dyDescent="0.25">
      <c r="U604" s="1"/>
    </row>
    <row r="605" spans="21:21" ht="20.100000000000001" customHeight="1" x14ac:dyDescent="0.25">
      <c r="U605" s="1"/>
    </row>
    <row r="606" spans="21:21" ht="20.100000000000001" customHeight="1" x14ac:dyDescent="0.25">
      <c r="U606" s="1"/>
    </row>
    <row r="607" spans="21:21" ht="20.100000000000001" customHeight="1" x14ac:dyDescent="0.25">
      <c r="U607" s="1"/>
    </row>
    <row r="608" spans="21:21" ht="20.100000000000001" customHeight="1" x14ac:dyDescent="0.25">
      <c r="U608" s="1"/>
    </row>
    <row r="609" spans="21:21" ht="20.100000000000001" customHeight="1" x14ac:dyDescent="0.25">
      <c r="U609" s="1"/>
    </row>
    <row r="610" spans="21:21" ht="20.100000000000001" customHeight="1" x14ac:dyDescent="0.25">
      <c r="U610" s="1"/>
    </row>
    <row r="611" spans="21:21" ht="20.100000000000001" customHeight="1" x14ac:dyDescent="0.25">
      <c r="U611" s="1"/>
    </row>
    <row r="612" spans="21:21" ht="20.100000000000001" customHeight="1" x14ac:dyDescent="0.25">
      <c r="U612" s="1"/>
    </row>
    <row r="613" spans="21:21" ht="20.100000000000001" customHeight="1" x14ac:dyDescent="0.25">
      <c r="U613" s="1"/>
    </row>
    <row r="614" spans="21:21" ht="20.100000000000001" customHeight="1" x14ac:dyDescent="0.25">
      <c r="U614" s="1"/>
    </row>
    <row r="615" spans="21:21" ht="20.100000000000001" customHeight="1" x14ac:dyDescent="0.25">
      <c r="U615" s="1"/>
    </row>
    <row r="616" spans="21:21" ht="20.100000000000001" customHeight="1" x14ac:dyDescent="0.25">
      <c r="U616" s="1"/>
    </row>
    <row r="617" spans="21:21" ht="20.100000000000001" customHeight="1" x14ac:dyDescent="0.25">
      <c r="U617" s="1"/>
    </row>
    <row r="618" spans="21:21" ht="20.100000000000001" customHeight="1" x14ac:dyDescent="0.25">
      <c r="U618" s="1"/>
    </row>
    <row r="619" spans="21:21" ht="20.100000000000001" customHeight="1" x14ac:dyDescent="0.25">
      <c r="U619" s="1"/>
    </row>
    <row r="620" spans="21:21" ht="20.100000000000001" customHeight="1" x14ac:dyDescent="0.25">
      <c r="U620" s="1"/>
    </row>
    <row r="621" spans="21:21" ht="20.100000000000001" customHeight="1" x14ac:dyDescent="0.25">
      <c r="U621" s="1"/>
    </row>
    <row r="622" spans="21:21" ht="20.100000000000001" customHeight="1" x14ac:dyDescent="0.25">
      <c r="U622" s="1"/>
    </row>
    <row r="623" spans="21:21" ht="20.100000000000001" customHeight="1" x14ac:dyDescent="0.25">
      <c r="U623" s="1"/>
    </row>
    <row r="624" spans="21:21" ht="20.100000000000001" customHeight="1" x14ac:dyDescent="0.25">
      <c r="U624" s="1"/>
    </row>
    <row r="625" spans="21:21" ht="20.100000000000001" customHeight="1" x14ac:dyDescent="0.25">
      <c r="U625" s="1"/>
    </row>
    <row r="626" spans="21:21" ht="20.100000000000001" customHeight="1" x14ac:dyDescent="0.25">
      <c r="U626" s="1"/>
    </row>
    <row r="627" spans="21:21" ht="20.100000000000001" customHeight="1" x14ac:dyDescent="0.25">
      <c r="U627" s="1"/>
    </row>
    <row r="628" spans="21:21" ht="20.100000000000001" customHeight="1" x14ac:dyDescent="0.25">
      <c r="U628" s="1"/>
    </row>
    <row r="629" spans="21:21" ht="20.100000000000001" customHeight="1" x14ac:dyDescent="0.25">
      <c r="U629" s="1"/>
    </row>
    <row r="630" spans="21:21" ht="20.100000000000001" customHeight="1" x14ac:dyDescent="0.25">
      <c r="U630" s="1"/>
    </row>
    <row r="631" spans="21:21" ht="20.100000000000001" customHeight="1" x14ac:dyDescent="0.25">
      <c r="U631" s="1"/>
    </row>
    <row r="632" spans="21:21" ht="20.100000000000001" customHeight="1" x14ac:dyDescent="0.25">
      <c r="U632" s="1"/>
    </row>
    <row r="633" spans="21:21" ht="20.100000000000001" customHeight="1" x14ac:dyDescent="0.25">
      <c r="U633" s="1"/>
    </row>
    <row r="634" spans="21:21" ht="20.100000000000001" customHeight="1" x14ac:dyDescent="0.25">
      <c r="U634" s="1"/>
    </row>
    <row r="635" spans="21:21" ht="20.100000000000001" customHeight="1" x14ac:dyDescent="0.25">
      <c r="U635" s="1"/>
    </row>
    <row r="636" spans="21:21" ht="20.100000000000001" customHeight="1" x14ac:dyDescent="0.25">
      <c r="U636" s="1"/>
    </row>
    <row r="637" spans="21:21" ht="20.100000000000001" customHeight="1" x14ac:dyDescent="0.25">
      <c r="U637" s="1"/>
    </row>
    <row r="638" spans="21:21" ht="20.100000000000001" customHeight="1" x14ac:dyDescent="0.25">
      <c r="U638" s="1"/>
    </row>
    <row r="639" spans="21:21" ht="20.100000000000001" customHeight="1" x14ac:dyDescent="0.25">
      <c r="U639" s="1"/>
    </row>
    <row r="640" spans="21:21" ht="20.100000000000001" customHeight="1" x14ac:dyDescent="0.25">
      <c r="U640" s="1"/>
    </row>
    <row r="641" spans="21:21" ht="20.100000000000001" customHeight="1" x14ac:dyDescent="0.25">
      <c r="U641" s="1"/>
    </row>
    <row r="642" spans="21:21" ht="20.100000000000001" customHeight="1" x14ac:dyDescent="0.25">
      <c r="U642" s="1"/>
    </row>
    <row r="643" spans="21:21" ht="20.100000000000001" customHeight="1" x14ac:dyDescent="0.25">
      <c r="U643" s="1"/>
    </row>
    <row r="644" spans="21:21" ht="20.100000000000001" customHeight="1" x14ac:dyDescent="0.25">
      <c r="U644" s="1"/>
    </row>
    <row r="645" spans="21:21" ht="20.100000000000001" customHeight="1" x14ac:dyDescent="0.25">
      <c r="U645" s="1"/>
    </row>
    <row r="646" spans="21:21" ht="20.100000000000001" customHeight="1" x14ac:dyDescent="0.25">
      <c r="U646" s="1"/>
    </row>
    <row r="647" spans="21:21" ht="20.100000000000001" customHeight="1" x14ac:dyDescent="0.25">
      <c r="U647" s="1"/>
    </row>
    <row r="648" spans="21:21" ht="20.100000000000001" customHeight="1" x14ac:dyDescent="0.25">
      <c r="U648" s="1"/>
    </row>
    <row r="649" spans="21:21" ht="20.100000000000001" customHeight="1" x14ac:dyDescent="0.25">
      <c r="U649" s="1"/>
    </row>
    <row r="650" spans="21:21" ht="20.100000000000001" customHeight="1" x14ac:dyDescent="0.25">
      <c r="U650" s="1"/>
    </row>
    <row r="651" spans="21:21" ht="20.100000000000001" customHeight="1" x14ac:dyDescent="0.25">
      <c r="U651" s="1"/>
    </row>
    <row r="652" spans="21:21" ht="20.100000000000001" customHeight="1" x14ac:dyDescent="0.25">
      <c r="U652" s="1"/>
    </row>
    <row r="653" spans="21:21" ht="20.100000000000001" customHeight="1" x14ac:dyDescent="0.25">
      <c r="U653" s="1"/>
    </row>
    <row r="654" spans="21:21" ht="20.100000000000001" customHeight="1" x14ac:dyDescent="0.25">
      <c r="U654" s="1"/>
    </row>
    <row r="655" spans="21:21" ht="20.100000000000001" customHeight="1" x14ac:dyDescent="0.25">
      <c r="U655" s="1"/>
    </row>
    <row r="656" spans="21:21" ht="20.100000000000001" customHeight="1" x14ac:dyDescent="0.25">
      <c r="U656" s="1"/>
    </row>
    <row r="657" spans="21:21" ht="20.100000000000001" customHeight="1" x14ac:dyDescent="0.25">
      <c r="U657" s="1"/>
    </row>
    <row r="658" spans="21:21" ht="20.100000000000001" customHeight="1" x14ac:dyDescent="0.25">
      <c r="U658" s="1"/>
    </row>
    <row r="659" spans="21:21" ht="20.100000000000001" customHeight="1" x14ac:dyDescent="0.25">
      <c r="U659" s="1"/>
    </row>
    <row r="660" spans="21:21" ht="20.100000000000001" customHeight="1" x14ac:dyDescent="0.25">
      <c r="U660" s="1"/>
    </row>
    <row r="661" spans="21:21" ht="20.100000000000001" customHeight="1" x14ac:dyDescent="0.25">
      <c r="U661" s="1"/>
    </row>
    <row r="662" spans="21:21" ht="20.100000000000001" customHeight="1" x14ac:dyDescent="0.25">
      <c r="U662" s="1"/>
    </row>
    <row r="663" spans="21:21" ht="20.100000000000001" customHeight="1" x14ac:dyDescent="0.25">
      <c r="U663" s="1"/>
    </row>
    <row r="664" spans="21:21" ht="20.100000000000001" customHeight="1" x14ac:dyDescent="0.25">
      <c r="U664" s="1"/>
    </row>
    <row r="665" spans="21:21" ht="20.100000000000001" customHeight="1" x14ac:dyDescent="0.25">
      <c r="U665" s="1"/>
    </row>
    <row r="666" spans="21:21" ht="20.100000000000001" customHeight="1" x14ac:dyDescent="0.25">
      <c r="U666" s="1"/>
    </row>
    <row r="667" spans="21:21" ht="20.100000000000001" customHeight="1" x14ac:dyDescent="0.25">
      <c r="U667" s="1"/>
    </row>
    <row r="668" spans="21:21" ht="20.100000000000001" customHeight="1" x14ac:dyDescent="0.25">
      <c r="U668" s="1"/>
    </row>
    <row r="669" spans="21:21" ht="20.100000000000001" customHeight="1" x14ac:dyDescent="0.25">
      <c r="U669" s="1"/>
    </row>
    <row r="670" spans="21:21" ht="20.100000000000001" customHeight="1" x14ac:dyDescent="0.25">
      <c r="U670" s="1"/>
    </row>
    <row r="671" spans="21:21" ht="20.100000000000001" customHeight="1" x14ac:dyDescent="0.25">
      <c r="U671" s="1"/>
    </row>
    <row r="672" spans="21:21" ht="20.100000000000001" customHeight="1" x14ac:dyDescent="0.25">
      <c r="U672" s="1"/>
    </row>
    <row r="673" spans="21:21" ht="20.100000000000001" customHeight="1" x14ac:dyDescent="0.25">
      <c r="U673" s="1"/>
    </row>
    <row r="674" spans="21:21" ht="20.100000000000001" customHeight="1" x14ac:dyDescent="0.25">
      <c r="U674" s="1"/>
    </row>
    <row r="675" spans="21:21" ht="20.100000000000001" customHeight="1" x14ac:dyDescent="0.25">
      <c r="U675" s="1"/>
    </row>
    <row r="676" spans="21:21" ht="20.100000000000001" customHeight="1" x14ac:dyDescent="0.25">
      <c r="U676" s="1"/>
    </row>
    <row r="677" spans="21:21" ht="20.100000000000001" customHeight="1" x14ac:dyDescent="0.25">
      <c r="U677" s="1"/>
    </row>
    <row r="678" spans="21:21" ht="20.100000000000001" customHeight="1" x14ac:dyDescent="0.25">
      <c r="U678" s="1"/>
    </row>
    <row r="679" spans="21:21" ht="20.100000000000001" customHeight="1" x14ac:dyDescent="0.25">
      <c r="U679" s="1"/>
    </row>
    <row r="680" spans="21:21" ht="20.100000000000001" customHeight="1" x14ac:dyDescent="0.25">
      <c r="U680" s="1"/>
    </row>
    <row r="681" spans="21:21" ht="20.100000000000001" customHeight="1" x14ac:dyDescent="0.25">
      <c r="U681" s="1"/>
    </row>
    <row r="682" spans="21:21" ht="20.100000000000001" customHeight="1" x14ac:dyDescent="0.25">
      <c r="U682" s="1"/>
    </row>
    <row r="683" spans="21:21" ht="20.100000000000001" customHeight="1" x14ac:dyDescent="0.25">
      <c r="U683" s="1"/>
    </row>
    <row r="684" spans="21:21" ht="20.100000000000001" customHeight="1" x14ac:dyDescent="0.25">
      <c r="U684" s="1"/>
    </row>
    <row r="685" spans="21:21" ht="20.100000000000001" customHeight="1" x14ac:dyDescent="0.25">
      <c r="U685" s="1"/>
    </row>
    <row r="686" spans="21:21" ht="20.100000000000001" customHeight="1" x14ac:dyDescent="0.25">
      <c r="U686" s="1"/>
    </row>
    <row r="687" spans="21:21" ht="20.100000000000001" customHeight="1" x14ac:dyDescent="0.25">
      <c r="U687" s="1"/>
    </row>
    <row r="688" spans="21:21" ht="20.100000000000001" customHeight="1" x14ac:dyDescent="0.25">
      <c r="U688" s="1"/>
    </row>
    <row r="689" spans="21:21" ht="20.100000000000001" customHeight="1" x14ac:dyDescent="0.25">
      <c r="U689" s="1"/>
    </row>
    <row r="690" spans="21:21" ht="20.100000000000001" customHeight="1" x14ac:dyDescent="0.25">
      <c r="U690" s="1"/>
    </row>
    <row r="691" spans="21:21" ht="20.100000000000001" customHeight="1" x14ac:dyDescent="0.25">
      <c r="U691" s="1"/>
    </row>
    <row r="692" spans="21:21" ht="20.100000000000001" customHeight="1" x14ac:dyDescent="0.25">
      <c r="U692" s="1"/>
    </row>
    <row r="693" spans="21:21" ht="20.100000000000001" customHeight="1" x14ac:dyDescent="0.25">
      <c r="U693" s="1"/>
    </row>
    <row r="694" spans="21:21" ht="20.100000000000001" customHeight="1" x14ac:dyDescent="0.25">
      <c r="U694" s="1"/>
    </row>
    <row r="695" spans="21:21" ht="20.100000000000001" customHeight="1" x14ac:dyDescent="0.25">
      <c r="U695" s="1"/>
    </row>
    <row r="696" spans="21:21" ht="20.100000000000001" customHeight="1" x14ac:dyDescent="0.25">
      <c r="U696" s="1"/>
    </row>
    <row r="697" spans="21:21" ht="20.100000000000001" customHeight="1" x14ac:dyDescent="0.25">
      <c r="U697" s="1"/>
    </row>
    <row r="698" spans="21:21" ht="20.100000000000001" customHeight="1" x14ac:dyDescent="0.25">
      <c r="U698" s="1"/>
    </row>
    <row r="699" spans="21:21" ht="20.100000000000001" customHeight="1" x14ac:dyDescent="0.25">
      <c r="U699" s="1"/>
    </row>
    <row r="700" spans="21:21" ht="20.100000000000001" customHeight="1" x14ac:dyDescent="0.25">
      <c r="U700" s="1"/>
    </row>
    <row r="701" spans="21:21" ht="20.100000000000001" customHeight="1" x14ac:dyDescent="0.25">
      <c r="U701" s="1"/>
    </row>
    <row r="702" spans="21:21" ht="20.100000000000001" customHeight="1" x14ac:dyDescent="0.25">
      <c r="U702" s="1"/>
    </row>
    <row r="703" spans="21:21" ht="20.100000000000001" customHeight="1" x14ac:dyDescent="0.25">
      <c r="U703" s="1"/>
    </row>
    <row r="704" spans="21:21" ht="20.100000000000001" customHeight="1" x14ac:dyDescent="0.25">
      <c r="U704" s="1"/>
    </row>
    <row r="705" spans="21:21" ht="20.100000000000001" customHeight="1" x14ac:dyDescent="0.25">
      <c r="U705" s="1"/>
    </row>
    <row r="706" spans="21:21" ht="20.100000000000001" customHeight="1" x14ac:dyDescent="0.25">
      <c r="U706" s="1"/>
    </row>
    <row r="707" spans="21:21" ht="20.100000000000001" customHeight="1" x14ac:dyDescent="0.25">
      <c r="U707" s="1"/>
    </row>
    <row r="708" spans="21:21" ht="20.100000000000001" customHeight="1" x14ac:dyDescent="0.25">
      <c r="U708" s="1"/>
    </row>
    <row r="709" spans="21:21" ht="20.100000000000001" customHeight="1" x14ac:dyDescent="0.25">
      <c r="U709" s="1"/>
    </row>
    <row r="710" spans="21:21" ht="20.100000000000001" customHeight="1" x14ac:dyDescent="0.25">
      <c r="U710" s="1"/>
    </row>
    <row r="711" spans="21:21" ht="20.100000000000001" customHeight="1" x14ac:dyDescent="0.25">
      <c r="U711" s="1"/>
    </row>
    <row r="712" spans="21:21" ht="20.100000000000001" customHeight="1" x14ac:dyDescent="0.25">
      <c r="U712" s="1"/>
    </row>
    <row r="713" spans="21:21" ht="20.100000000000001" customHeight="1" x14ac:dyDescent="0.25">
      <c r="U713" s="1"/>
    </row>
    <row r="714" spans="21:21" ht="20.100000000000001" customHeight="1" x14ac:dyDescent="0.25">
      <c r="U714" s="1"/>
    </row>
    <row r="715" spans="21:21" ht="20.100000000000001" customHeight="1" x14ac:dyDescent="0.25">
      <c r="U715" s="1"/>
    </row>
    <row r="716" spans="21:21" ht="20.100000000000001" customHeight="1" x14ac:dyDescent="0.25">
      <c r="U716" s="1"/>
    </row>
    <row r="717" spans="21:21" ht="20.100000000000001" customHeight="1" x14ac:dyDescent="0.25">
      <c r="U717" s="1"/>
    </row>
    <row r="718" spans="21:21" ht="20.100000000000001" customHeight="1" x14ac:dyDescent="0.25">
      <c r="U718" s="1"/>
    </row>
    <row r="719" spans="21:21" ht="20.100000000000001" customHeight="1" x14ac:dyDescent="0.25">
      <c r="U719" s="1"/>
    </row>
    <row r="720" spans="21:21" ht="20.100000000000001" customHeight="1" x14ac:dyDescent="0.25">
      <c r="U720" s="1"/>
    </row>
    <row r="721" spans="21:21" ht="20.100000000000001" customHeight="1" x14ac:dyDescent="0.25">
      <c r="U721" s="1"/>
    </row>
    <row r="722" spans="21:21" ht="20.100000000000001" customHeight="1" x14ac:dyDescent="0.25">
      <c r="U722" s="1"/>
    </row>
    <row r="723" spans="21:21" ht="20.100000000000001" customHeight="1" x14ac:dyDescent="0.25">
      <c r="U723" s="1"/>
    </row>
    <row r="724" spans="21:21" ht="20.100000000000001" customHeight="1" x14ac:dyDescent="0.25">
      <c r="U724" s="1"/>
    </row>
    <row r="725" spans="21:21" ht="20.100000000000001" customHeight="1" x14ac:dyDescent="0.25">
      <c r="U725" s="1"/>
    </row>
    <row r="726" spans="21:21" ht="20.100000000000001" customHeight="1" x14ac:dyDescent="0.25">
      <c r="U726" s="1"/>
    </row>
    <row r="727" spans="21:21" ht="20.100000000000001" customHeight="1" x14ac:dyDescent="0.25">
      <c r="U727" s="1"/>
    </row>
    <row r="728" spans="21:21" ht="20.100000000000001" customHeight="1" x14ac:dyDescent="0.25">
      <c r="U728" s="1"/>
    </row>
    <row r="729" spans="21:21" ht="20.100000000000001" customHeight="1" x14ac:dyDescent="0.25">
      <c r="U729" s="1"/>
    </row>
    <row r="730" spans="21:21" ht="20.100000000000001" customHeight="1" x14ac:dyDescent="0.25">
      <c r="U730" s="1"/>
    </row>
    <row r="731" spans="21:21" ht="20.100000000000001" customHeight="1" x14ac:dyDescent="0.25">
      <c r="U731" s="1"/>
    </row>
    <row r="732" spans="21:21" ht="20.100000000000001" customHeight="1" x14ac:dyDescent="0.25">
      <c r="U732" s="1"/>
    </row>
    <row r="733" spans="21:21" ht="20.100000000000001" customHeight="1" x14ac:dyDescent="0.25">
      <c r="U733" s="1"/>
    </row>
    <row r="734" spans="21:21" ht="20.100000000000001" customHeight="1" x14ac:dyDescent="0.25">
      <c r="U734" s="1"/>
    </row>
    <row r="735" spans="21:21" ht="20.100000000000001" customHeight="1" x14ac:dyDescent="0.25">
      <c r="U735" s="1"/>
    </row>
    <row r="736" spans="21:21" ht="20.100000000000001" customHeight="1" x14ac:dyDescent="0.25">
      <c r="U736" s="1"/>
    </row>
    <row r="737" spans="21:21" ht="20.100000000000001" customHeight="1" x14ac:dyDescent="0.25">
      <c r="U737" s="1"/>
    </row>
    <row r="738" spans="21:21" ht="20.100000000000001" customHeight="1" x14ac:dyDescent="0.25">
      <c r="U738" s="1"/>
    </row>
    <row r="739" spans="21:21" ht="20.100000000000001" customHeight="1" x14ac:dyDescent="0.25">
      <c r="U739" s="1"/>
    </row>
    <row r="740" spans="21:21" ht="20.100000000000001" customHeight="1" x14ac:dyDescent="0.25">
      <c r="U740" s="1"/>
    </row>
    <row r="741" spans="21:21" ht="20.100000000000001" customHeight="1" x14ac:dyDescent="0.25">
      <c r="U741" s="1"/>
    </row>
    <row r="742" spans="21:21" ht="20.100000000000001" customHeight="1" x14ac:dyDescent="0.25">
      <c r="U742" s="1"/>
    </row>
    <row r="743" spans="21:21" ht="20.100000000000001" customHeight="1" x14ac:dyDescent="0.25">
      <c r="U743" s="1"/>
    </row>
    <row r="744" spans="21:21" ht="20.100000000000001" customHeight="1" x14ac:dyDescent="0.25">
      <c r="U744" s="1"/>
    </row>
    <row r="745" spans="21:21" ht="20.100000000000001" customHeight="1" x14ac:dyDescent="0.25">
      <c r="U745" s="1"/>
    </row>
    <row r="746" spans="21:21" ht="20.100000000000001" customHeight="1" x14ac:dyDescent="0.25">
      <c r="U746" s="1"/>
    </row>
    <row r="747" spans="21:21" ht="20.100000000000001" customHeight="1" x14ac:dyDescent="0.25">
      <c r="U747" s="1"/>
    </row>
    <row r="748" spans="21:21" ht="20.100000000000001" customHeight="1" x14ac:dyDescent="0.25">
      <c r="U748" s="1"/>
    </row>
    <row r="749" spans="21:21" ht="20.100000000000001" customHeight="1" x14ac:dyDescent="0.25">
      <c r="U749" s="1"/>
    </row>
    <row r="750" spans="21:21" ht="20.100000000000001" customHeight="1" x14ac:dyDescent="0.25">
      <c r="U750" s="1"/>
    </row>
    <row r="751" spans="21:21" ht="20.100000000000001" customHeight="1" x14ac:dyDescent="0.25">
      <c r="U751" s="1"/>
    </row>
    <row r="752" spans="21:21" ht="20.100000000000001" customHeight="1" x14ac:dyDescent="0.25">
      <c r="U752" s="1"/>
    </row>
    <row r="753" spans="21:21" ht="20.100000000000001" customHeight="1" x14ac:dyDescent="0.25">
      <c r="U753" s="1"/>
    </row>
    <row r="754" spans="21:21" ht="20.100000000000001" customHeight="1" x14ac:dyDescent="0.25">
      <c r="U754" s="1"/>
    </row>
    <row r="755" spans="21:21" ht="20.100000000000001" customHeight="1" x14ac:dyDescent="0.25">
      <c r="U755" s="1"/>
    </row>
    <row r="756" spans="21:21" ht="20.100000000000001" customHeight="1" x14ac:dyDescent="0.25">
      <c r="U756" s="1"/>
    </row>
    <row r="757" spans="21:21" ht="20.100000000000001" customHeight="1" x14ac:dyDescent="0.25">
      <c r="U757" s="1"/>
    </row>
    <row r="758" spans="21:21" ht="20.100000000000001" customHeight="1" x14ac:dyDescent="0.25">
      <c r="U758" s="1"/>
    </row>
    <row r="759" spans="21:21" ht="20.100000000000001" customHeight="1" x14ac:dyDescent="0.25">
      <c r="U759" s="1"/>
    </row>
    <row r="760" spans="21:21" ht="20.100000000000001" customHeight="1" x14ac:dyDescent="0.25">
      <c r="U760" s="1"/>
    </row>
    <row r="761" spans="21:21" ht="20.100000000000001" customHeight="1" x14ac:dyDescent="0.25">
      <c r="U761" s="1"/>
    </row>
    <row r="762" spans="21:21" ht="20.100000000000001" customHeight="1" x14ac:dyDescent="0.25">
      <c r="U762" s="1"/>
    </row>
    <row r="763" spans="21:21" ht="20.100000000000001" customHeight="1" x14ac:dyDescent="0.25">
      <c r="U763" s="1"/>
    </row>
    <row r="764" spans="21:21" ht="20.100000000000001" customHeight="1" x14ac:dyDescent="0.25">
      <c r="U764" s="1"/>
    </row>
    <row r="765" spans="21:21" ht="20.100000000000001" customHeight="1" x14ac:dyDescent="0.25">
      <c r="U765" s="1"/>
    </row>
    <row r="766" spans="21:21" ht="20.100000000000001" customHeight="1" x14ac:dyDescent="0.25">
      <c r="U766" s="1"/>
    </row>
    <row r="767" spans="21:21" ht="20.100000000000001" customHeight="1" x14ac:dyDescent="0.25">
      <c r="U767" s="1"/>
    </row>
    <row r="768" spans="21:21" ht="20.100000000000001" customHeight="1" x14ac:dyDescent="0.25">
      <c r="U768" s="1"/>
    </row>
    <row r="769" spans="21:21" ht="20.100000000000001" customHeight="1" x14ac:dyDescent="0.25">
      <c r="U769" s="1"/>
    </row>
    <row r="770" spans="21:21" ht="20.100000000000001" customHeight="1" x14ac:dyDescent="0.25">
      <c r="U770" s="1"/>
    </row>
    <row r="771" spans="21:21" ht="20.100000000000001" customHeight="1" x14ac:dyDescent="0.25">
      <c r="U771" s="1"/>
    </row>
    <row r="772" spans="21:21" ht="20.100000000000001" customHeight="1" x14ac:dyDescent="0.25">
      <c r="U772" s="1"/>
    </row>
    <row r="773" spans="21:21" ht="20.100000000000001" customHeight="1" x14ac:dyDescent="0.25">
      <c r="U773" s="1"/>
    </row>
    <row r="774" spans="21:21" ht="20.100000000000001" customHeight="1" x14ac:dyDescent="0.25">
      <c r="U774" s="1"/>
    </row>
    <row r="775" spans="21:21" ht="20.100000000000001" customHeight="1" x14ac:dyDescent="0.25">
      <c r="U775" s="1"/>
    </row>
    <row r="776" spans="21:21" ht="20.100000000000001" customHeight="1" x14ac:dyDescent="0.25">
      <c r="U776" s="1"/>
    </row>
    <row r="777" spans="21:21" ht="20.100000000000001" customHeight="1" x14ac:dyDescent="0.25">
      <c r="U777" s="1"/>
    </row>
    <row r="778" spans="21:21" ht="20.100000000000001" customHeight="1" x14ac:dyDescent="0.25">
      <c r="U778" s="1"/>
    </row>
    <row r="779" spans="21:21" ht="20.100000000000001" customHeight="1" x14ac:dyDescent="0.25">
      <c r="U779" s="1"/>
    </row>
    <row r="780" spans="21:21" ht="20.100000000000001" customHeight="1" x14ac:dyDescent="0.25">
      <c r="U780" s="1"/>
    </row>
    <row r="781" spans="21:21" ht="20.100000000000001" customHeight="1" x14ac:dyDescent="0.25">
      <c r="U781" s="1"/>
    </row>
    <row r="782" spans="21:21" ht="20.100000000000001" customHeight="1" x14ac:dyDescent="0.25">
      <c r="U782" s="1"/>
    </row>
    <row r="783" spans="21:21" ht="20.100000000000001" customHeight="1" x14ac:dyDescent="0.25">
      <c r="U783" s="1"/>
    </row>
    <row r="784" spans="21:21" ht="20.100000000000001" customHeight="1" x14ac:dyDescent="0.25">
      <c r="U784" s="1"/>
    </row>
    <row r="785" spans="21:21" ht="20.100000000000001" customHeight="1" x14ac:dyDescent="0.25">
      <c r="U785" s="1"/>
    </row>
    <row r="786" spans="21:21" ht="20.100000000000001" customHeight="1" x14ac:dyDescent="0.25">
      <c r="U786" s="1"/>
    </row>
    <row r="787" spans="21:21" ht="20.100000000000001" customHeight="1" x14ac:dyDescent="0.25">
      <c r="U787" s="1"/>
    </row>
    <row r="788" spans="21:21" ht="20.100000000000001" customHeight="1" x14ac:dyDescent="0.25">
      <c r="U788" s="1"/>
    </row>
    <row r="789" spans="21:21" ht="20.100000000000001" customHeight="1" x14ac:dyDescent="0.25">
      <c r="U789" s="1"/>
    </row>
    <row r="790" spans="21:21" ht="20.100000000000001" customHeight="1" x14ac:dyDescent="0.25">
      <c r="U790" s="1"/>
    </row>
    <row r="791" spans="21:21" ht="20.100000000000001" customHeight="1" x14ac:dyDescent="0.25">
      <c r="U791" s="1"/>
    </row>
    <row r="792" spans="21:21" ht="20.100000000000001" customHeight="1" x14ac:dyDescent="0.25">
      <c r="U792" s="1"/>
    </row>
    <row r="793" spans="21:21" ht="20.100000000000001" customHeight="1" x14ac:dyDescent="0.25">
      <c r="U793" s="1"/>
    </row>
    <row r="794" spans="21:21" ht="20.100000000000001" customHeight="1" x14ac:dyDescent="0.25">
      <c r="U794" s="1"/>
    </row>
    <row r="795" spans="21:21" ht="20.100000000000001" customHeight="1" x14ac:dyDescent="0.25">
      <c r="U795" s="1"/>
    </row>
    <row r="796" spans="21:21" ht="20.100000000000001" customHeight="1" x14ac:dyDescent="0.25">
      <c r="U796" s="1"/>
    </row>
    <row r="797" spans="21:21" ht="20.100000000000001" customHeight="1" x14ac:dyDescent="0.25">
      <c r="U797" s="1"/>
    </row>
    <row r="798" spans="21:21" ht="20.100000000000001" customHeight="1" x14ac:dyDescent="0.25">
      <c r="U798" s="1"/>
    </row>
    <row r="799" spans="21:21" ht="20.100000000000001" customHeight="1" x14ac:dyDescent="0.25">
      <c r="U799" s="1"/>
    </row>
    <row r="800" spans="21:21" ht="20.100000000000001" customHeight="1" x14ac:dyDescent="0.25">
      <c r="U800" s="1"/>
    </row>
    <row r="801" spans="21:21" ht="20.100000000000001" customHeight="1" x14ac:dyDescent="0.25">
      <c r="U801" s="1"/>
    </row>
    <row r="802" spans="21:21" ht="20.100000000000001" customHeight="1" x14ac:dyDescent="0.25">
      <c r="U802" s="1"/>
    </row>
    <row r="803" spans="21:21" ht="20.100000000000001" customHeight="1" x14ac:dyDescent="0.25">
      <c r="U803" s="1"/>
    </row>
    <row r="804" spans="21:21" ht="20.100000000000001" customHeight="1" x14ac:dyDescent="0.25">
      <c r="U804" s="1"/>
    </row>
    <row r="805" spans="21:21" ht="20.100000000000001" customHeight="1" x14ac:dyDescent="0.25">
      <c r="U805" s="1"/>
    </row>
    <row r="806" spans="21:21" ht="20.100000000000001" customHeight="1" x14ac:dyDescent="0.25">
      <c r="U806" s="1"/>
    </row>
    <row r="807" spans="21:21" ht="20.100000000000001" customHeight="1" x14ac:dyDescent="0.25">
      <c r="U807" s="1"/>
    </row>
    <row r="808" spans="21:21" ht="20.100000000000001" customHeight="1" x14ac:dyDescent="0.25">
      <c r="U808" s="1"/>
    </row>
    <row r="809" spans="21:21" ht="20.100000000000001" customHeight="1" x14ac:dyDescent="0.25">
      <c r="U809" s="1"/>
    </row>
    <row r="810" spans="21:21" ht="20.100000000000001" customHeight="1" x14ac:dyDescent="0.25">
      <c r="U810" s="1"/>
    </row>
    <row r="811" spans="21:21" ht="20.100000000000001" customHeight="1" x14ac:dyDescent="0.25">
      <c r="U811" s="1"/>
    </row>
    <row r="812" spans="21:21" ht="20.100000000000001" customHeight="1" x14ac:dyDescent="0.25">
      <c r="U812" s="1"/>
    </row>
    <row r="813" spans="21:21" ht="20.100000000000001" customHeight="1" x14ac:dyDescent="0.25">
      <c r="U813" s="1"/>
    </row>
    <row r="814" spans="21:21" ht="20.100000000000001" customHeight="1" x14ac:dyDescent="0.25">
      <c r="U814" s="1"/>
    </row>
    <row r="815" spans="21:21" ht="20.100000000000001" customHeight="1" x14ac:dyDescent="0.25">
      <c r="U815" s="1"/>
    </row>
    <row r="816" spans="21:21" ht="20.100000000000001" customHeight="1" x14ac:dyDescent="0.25">
      <c r="U816" s="1"/>
    </row>
    <row r="817" spans="21:21" ht="20.100000000000001" customHeight="1" x14ac:dyDescent="0.25">
      <c r="U817" s="1"/>
    </row>
    <row r="818" spans="21:21" ht="20.100000000000001" customHeight="1" x14ac:dyDescent="0.25">
      <c r="U818" s="1"/>
    </row>
    <row r="819" spans="21:21" ht="20.100000000000001" customHeight="1" x14ac:dyDescent="0.25">
      <c r="U819" s="1"/>
    </row>
    <row r="820" spans="21:21" ht="20.100000000000001" customHeight="1" x14ac:dyDescent="0.25">
      <c r="U820" s="1"/>
    </row>
    <row r="821" spans="21:21" ht="20.100000000000001" customHeight="1" x14ac:dyDescent="0.25">
      <c r="U821" s="1"/>
    </row>
    <row r="822" spans="21:21" ht="20.100000000000001" customHeight="1" x14ac:dyDescent="0.25">
      <c r="U822" s="1"/>
    </row>
    <row r="823" spans="21:21" ht="20.100000000000001" customHeight="1" x14ac:dyDescent="0.25">
      <c r="U823" s="1"/>
    </row>
    <row r="824" spans="21:21" ht="20.100000000000001" customHeight="1" x14ac:dyDescent="0.25">
      <c r="U824" s="1"/>
    </row>
    <row r="825" spans="21:21" ht="20.100000000000001" customHeight="1" x14ac:dyDescent="0.25">
      <c r="U825" s="1"/>
    </row>
    <row r="826" spans="21:21" ht="20.100000000000001" customHeight="1" x14ac:dyDescent="0.25">
      <c r="U826" s="1"/>
    </row>
    <row r="827" spans="21:21" ht="20.100000000000001" customHeight="1" x14ac:dyDescent="0.25">
      <c r="U827" s="1"/>
    </row>
    <row r="828" spans="21:21" ht="20.100000000000001" customHeight="1" x14ac:dyDescent="0.25">
      <c r="U828" s="1"/>
    </row>
    <row r="829" spans="21:21" ht="20.100000000000001" customHeight="1" x14ac:dyDescent="0.25">
      <c r="U829" s="1"/>
    </row>
    <row r="830" spans="21:21" ht="20.100000000000001" customHeight="1" x14ac:dyDescent="0.25">
      <c r="U830" s="1"/>
    </row>
    <row r="831" spans="21:21" ht="20.100000000000001" customHeight="1" x14ac:dyDescent="0.25">
      <c r="U831" s="1"/>
    </row>
    <row r="832" spans="21:21" ht="20.100000000000001" customHeight="1" x14ac:dyDescent="0.25">
      <c r="U832" s="1"/>
    </row>
    <row r="833" spans="21:21" ht="20.100000000000001" customHeight="1" x14ac:dyDescent="0.25">
      <c r="U833" s="1"/>
    </row>
    <row r="834" spans="21:21" ht="20.100000000000001" customHeight="1" x14ac:dyDescent="0.25">
      <c r="U834" s="1"/>
    </row>
    <row r="835" spans="21:21" ht="20.100000000000001" customHeight="1" x14ac:dyDescent="0.25">
      <c r="U835" s="1"/>
    </row>
    <row r="836" spans="21:21" ht="20.100000000000001" customHeight="1" x14ac:dyDescent="0.25">
      <c r="U836" s="1"/>
    </row>
    <row r="837" spans="21:21" ht="20.100000000000001" customHeight="1" x14ac:dyDescent="0.25">
      <c r="U837" s="1"/>
    </row>
    <row r="838" spans="21:21" ht="20.100000000000001" customHeight="1" x14ac:dyDescent="0.25">
      <c r="U838" s="1"/>
    </row>
    <row r="839" spans="21:21" ht="20.100000000000001" customHeight="1" x14ac:dyDescent="0.25">
      <c r="U839" s="1"/>
    </row>
    <row r="840" spans="21:21" ht="20.100000000000001" customHeight="1" x14ac:dyDescent="0.25">
      <c r="U840" s="1"/>
    </row>
    <row r="841" spans="21:21" ht="20.100000000000001" customHeight="1" x14ac:dyDescent="0.25">
      <c r="U841" s="1"/>
    </row>
    <row r="842" spans="21:21" ht="20.100000000000001" customHeight="1" x14ac:dyDescent="0.25">
      <c r="U842" s="1"/>
    </row>
    <row r="843" spans="21:21" ht="20.100000000000001" customHeight="1" x14ac:dyDescent="0.25">
      <c r="U843" s="1"/>
    </row>
    <row r="844" spans="21:21" ht="20.100000000000001" customHeight="1" x14ac:dyDescent="0.25">
      <c r="U844" s="1"/>
    </row>
    <row r="845" spans="21:21" ht="20.100000000000001" customHeight="1" x14ac:dyDescent="0.25">
      <c r="U845" s="1"/>
    </row>
    <row r="846" spans="21:21" ht="20.100000000000001" customHeight="1" x14ac:dyDescent="0.25">
      <c r="U846" s="1"/>
    </row>
    <row r="847" spans="21:21" ht="20.100000000000001" customHeight="1" x14ac:dyDescent="0.25">
      <c r="U847" s="1"/>
    </row>
    <row r="848" spans="21:21" ht="20.100000000000001" customHeight="1" x14ac:dyDescent="0.25">
      <c r="U848" s="1"/>
    </row>
    <row r="849" spans="21:21" ht="20.100000000000001" customHeight="1" x14ac:dyDescent="0.25">
      <c r="U849" s="1"/>
    </row>
    <row r="850" spans="21:21" ht="20.100000000000001" customHeight="1" x14ac:dyDescent="0.25">
      <c r="U850" s="1"/>
    </row>
    <row r="851" spans="21:21" ht="20.100000000000001" customHeight="1" x14ac:dyDescent="0.25">
      <c r="U851" s="1"/>
    </row>
    <row r="852" spans="21:21" ht="20.100000000000001" customHeight="1" x14ac:dyDescent="0.25">
      <c r="U852" s="1"/>
    </row>
    <row r="853" spans="21:21" ht="20.100000000000001" customHeight="1" x14ac:dyDescent="0.25">
      <c r="U853" s="1"/>
    </row>
    <row r="854" spans="21:21" ht="20.100000000000001" customHeight="1" x14ac:dyDescent="0.25">
      <c r="U854" s="1"/>
    </row>
    <row r="855" spans="21:21" ht="20.100000000000001" customHeight="1" x14ac:dyDescent="0.25">
      <c r="U855" s="1"/>
    </row>
    <row r="856" spans="21:21" ht="20.100000000000001" customHeight="1" x14ac:dyDescent="0.25">
      <c r="U856" s="1"/>
    </row>
    <row r="857" spans="21:21" ht="20.100000000000001" customHeight="1" x14ac:dyDescent="0.25">
      <c r="U857" s="1"/>
    </row>
    <row r="858" spans="21:21" ht="20.100000000000001" customHeight="1" x14ac:dyDescent="0.25">
      <c r="U858" s="1"/>
    </row>
    <row r="859" spans="21:21" ht="20.100000000000001" customHeight="1" x14ac:dyDescent="0.25">
      <c r="U859" s="1"/>
    </row>
    <row r="860" spans="21:21" ht="20.100000000000001" customHeight="1" x14ac:dyDescent="0.25">
      <c r="U860" s="1"/>
    </row>
    <row r="861" spans="21:21" ht="20.100000000000001" customHeight="1" x14ac:dyDescent="0.25">
      <c r="U861" s="1"/>
    </row>
    <row r="862" spans="21:21" ht="20.100000000000001" customHeight="1" x14ac:dyDescent="0.25">
      <c r="U862" s="1"/>
    </row>
    <row r="863" spans="21:21" ht="20.100000000000001" customHeight="1" x14ac:dyDescent="0.25">
      <c r="U863" s="1"/>
    </row>
    <row r="864" spans="21:21" ht="20.100000000000001" customHeight="1" x14ac:dyDescent="0.25">
      <c r="U864" s="1"/>
    </row>
    <row r="865" spans="21:21" ht="20.100000000000001" customHeight="1" x14ac:dyDescent="0.25">
      <c r="U865" s="1"/>
    </row>
    <row r="866" spans="21:21" ht="20.100000000000001" customHeight="1" x14ac:dyDescent="0.25">
      <c r="U866" s="1"/>
    </row>
    <row r="867" spans="21:21" ht="20.100000000000001" customHeight="1" x14ac:dyDescent="0.25">
      <c r="U867" s="1"/>
    </row>
    <row r="868" spans="21:21" ht="20.100000000000001" customHeight="1" x14ac:dyDescent="0.25">
      <c r="U868" s="1"/>
    </row>
    <row r="869" spans="21:21" ht="20.100000000000001" customHeight="1" x14ac:dyDescent="0.25">
      <c r="U869" s="1"/>
    </row>
    <row r="870" spans="21:21" ht="20.100000000000001" customHeight="1" x14ac:dyDescent="0.25">
      <c r="U870" s="1"/>
    </row>
    <row r="871" spans="21:21" ht="20.100000000000001" customHeight="1" x14ac:dyDescent="0.25">
      <c r="U871" s="1"/>
    </row>
    <row r="872" spans="21:21" ht="20.100000000000001" customHeight="1" x14ac:dyDescent="0.25">
      <c r="U872" s="1"/>
    </row>
    <row r="873" spans="21:21" ht="20.100000000000001" customHeight="1" x14ac:dyDescent="0.25">
      <c r="U873" s="1"/>
    </row>
    <row r="874" spans="21:21" ht="20.100000000000001" customHeight="1" x14ac:dyDescent="0.25">
      <c r="U874" s="1"/>
    </row>
    <row r="875" spans="21:21" ht="20.100000000000001" customHeight="1" x14ac:dyDescent="0.25">
      <c r="U875" s="1"/>
    </row>
    <row r="876" spans="21:21" ht="20.100000000000001" customHeight="1" x14ac:dyDescent="0.25">
      <c r="U876" s="1"/>
    </row>
    <row r="877" spans="21:21" ht="20.100000000000001" customHeight="1" x14ac:dyDescent="0.25">
      <c r="U877" s="1"/>
    </row>
    <row r="878" spans="21:21" ht="20.100000000000001" customHeight="1" x14ac:dyDescent="0.25">
      <c r="U878" s="1"/>
    </row>
    <row r="879" spans="21:21" ht="20.100000000000001" customHeight="1" x14ac:dyDescent="0.25">
      <c r="U879" s="1"/>
    </row>
    <row r="880" spans="21:21" ht="20.100000000000001" customHeight="1" x14ac:dyDescent="0.25">
      <c r="U880" s="1"/>
    </row>
    <row r="881" spans="21:21" ht="20.100000000000001" customHeight="1" x14ac:dyDescent="0.25">
      <c r="U881" s="1"/>
    </row>
    <row r="882" spans="21:21" ht="20.100000000000001" customHeight="1" x14ac:dyDescent="0.25">
      <c r="U882" s="1"/>
    </row>
    <row r="883" spans="21:21" ht="20.100000000000001" customHeight="1" x14ac:dyDescent="0.25">
      <c r="U883" s="1"/>
    </row>
    <row r="884" spans="21:21" ht="20.100000000000001" customHeight="1" x14ac:dyDescent="0.25">
      <c r="U884" s="1"/>
    </row>
    <row r="885" spans="21:21" ht="20.100000000000001" customHeight="1" x14ac:dyDescent="0.25">
      <c r="U885" s="1"/>
    </row>
    <row r="886" spans="21:21" ht="20.100000000000001" customHeight="1" x14ac:dyDescent="0.25">
      <c r="U886" s="1"/>
    </row>
    <row r="887" spans="21:21" ht="20.100000000000001" customHeight="1" x14ac:dyDescent="0.25">
      <c r="U887" s="1"/>
    </row>
    <row r="888" spans="21:21" ht="20.100000000000001" customHeight="1" x14ac:dyDescent="0.25">
      <c r="U888" s="1"/>
    </row>
    <row r="889" spans="21:21" ht="20.100000000000001" customHeight="1" x14ac:dyDescent="0.25">
      <c r="U889" s="1"/>
    </row>
    <row r="890" spans="21:21" ht="20.100000000000001" customHeight="1" x14ac:dyDescent="0.25">
      <c r="U890" s="1"/>
    </row>
    <row r="891" spans="21:21" ht="20.100000000000001" customHeight="1" x14ac:dyDescent="0.25">
      <c r="U891" s="1"/>
    </row>
    <row r="892" spans="21:21" ht="20.100000000000001" customHeight="1" x14ac:dyDescent="0.25">
      <c r="U892" s="1"/>
    </row>
    <row r="893" spans="21:21" ht="20.100000000000001" customHeight="1" x14ac:dyDescent="0.25">
      <c r="U893" s="1"/>
    </row>
    <row r="894" spans="21:21" ht="20.100000000000001" customHeight="1" x14ac:dyDescent="0.25">
      <c r="U894" s="1"/>
    </row>
    <row r="895" spans="21:21" ht="20.100000000000001" customHeight="1" x14ac:dyDescent="0.25">
      <c r="U895" s="1"/>
    </row>
    <row r="896" spans="21:21" ht="20.100000000000001" customHeight="1" x14ac:dyDescent="0.25">
      <c r="U896" s="1"/>
    </row>
    <row r="897" spans="21:21" ht="20.100000000000001" customHeight="1" x14ac:dyDescent="0.25">
      <c r="U897" s="1"/>
    </row>
    <row r="898" spans="21:21" ht="20.100000000000001" customHeight="1" x14ac:dyDescent="0.25">
      <c r="U898" s="1"/>
    </row>
    <row r="899" spans="21:21" ht="20.100000000000001" customHeight="1" x14ac:dyDescent="0.25">
      <c r="U899" s="1"/>
    </row>
    <row r="900" spans="21:21" ht="20.100000000000001" customHeight="1" x14ac:dyDescent="0.25">
      <c r="U900" s="1"/>
    </row>
    <row r="901" spans="21:21" ht="20.100000000000001" customHeight="1" x14ac:dyDescent="0.25">
      <c r="U901" s="1"/>
    </row>
    <row r="902" spans="21:21" ht="20.100000000000001" customHeight="1" x14ac:dyDescent="0.25">
      <c r="U902" s="1"/>
    </row>
    <row r="903" spans="21:21" ht="20.100000000000001" customHeight="1" x14ac:dyDescent="0.25">
      <c r="U903" s="1"/>
    </row>
    <row r="904" spans="21:21" ht="20.100000000000001" customHeight="1" x14ac:dyDescent="0.25">
      <c r="U904" s="1"/>
    </row>
    <row r="905" spans="21:21" ht="20.100000000000001" customHeight="1" x14ac:dyDescent="0.25">
      <c r="U905" s="1"/>
    </row>
    <row r="906" spans="21:21" ht="20.100000000000001" customHeight="1" x14ac:dyDescent="0.25">
      <c r="U906" s="1"/>
    </row>
    <row r="907" spans="21:21" ht="20.100000000000001" customHeight="1" x14ac:dyDescent="0.25">
      <c r="U907" s="1"/>
    </row>
    <row r="908" spans="21:21" ht="20.100000000000001" customHeight="1" x14ac:dyDescent="0.25">
      <c r="U908" s="1"/>
    </row>
    <row r="909" spans="21:21" ht="20.100000000000001" customHeight="1" x14ac:dyDescent="0.25">
      <c r="U909" s="1"/>
    </row>
    <row r="910" spans="21:21" ht="20.100000000000001" customHeight="1" x14ac:dyDescent="0.25">
      <c r="U910" s="1"/>
    </row>
    <row r="911" spans="21:21" ht="20.100000000000001" customHeight="1" x14ac:dyDescent="0.25">
      <c r="U911" s="1"/>
    </row>
    <row r="912" spans="21:21" ht="20.100000000000001" customHeight="1" x14ac:dyDescent="0.25">
      <c r="U912" s="1"/>
    </row>
    <row r="913" spans="21:21" ht="20.100000000000001" customHeight="1" x14ac:dyDescent="0.25">
      <c r="U913" s="1"/>
    </row>
    <row r="914" spans="21:21" ht="20.100000000000001" customHeight="1" x14ac:dyDescent="0.25">
      <c r="U914" s="1"/>
    </row>
    <row r="915" spans="21:21" ht="20.100000000000001" customHeight="1" x14ac:dyDescent="0.25">
      <c r="U915" s="1"/>
    </row>
    <row r="916" spans="21:21" ht="20.100000000000001" customHeight="1" x14ac:dyDescent="0.25">
      <c r="U916" s="1"/>
    </row>
    <row r="917" spans="21:21" ht="20.100000000000001" customHeight="1" x14ac:dyDescent="0.25">
      <c r="U917" s="1"/>
    </row>
    <row r="918" spans="21:21" ht="20.100000000000001" customHeight="1" x14ac:dyDescent="0.25">
      <c r="U918" s="1"/>
    </row>
    <row r="919" spans="21:21" ht="20.100000000000001" customHeight="1" x14ac:dyDescent="0.25">
      <c r="U919" s="1"/>
    </row>
    <row r="920" spans="21:21" ht="20.100000000000001" customHeight="1" x14ac:dyDescent="0.25">
      <c r="U920" s="1"/>
    </row>
    <row r="921" spans="21:21" ht="20.100000000000001" customHeight="1" x14ac:dyDescent="0.25">
      <c r="U921" s="1"/>
    </row>
    <row r="922" spans="21:21" ht="20.100000000000001" customHeight="1" x14ac:dyDescent="0.25">
      <c r="U922" s="1"/>
    </row>
    <row r="923" spans="21:21" ht="20.100000000000001" customHeight="1" x14ac:dyDescent="0.25">
      <c r="U923" s="1"/>
    </row>
    <row r="924" spans="21:21" ht="20.100000000000001" customHeight="1" x14ac:dyDescent="0.25">
      <c r="U924" s="1"/>
    </row>
    <row r="925" spans="21:21" ht="20.100000000000001" customHeight="1" x14ac:dyDescent="0.25">
      <c r="U925" s="1"/>
    </row>
    <row r="926" spans="21:21" ht="20.100000000000001" customHeight="1" x14ac:dyDescent="0.25">
      <c r="U926" s="1"/>
    </row>
    <row r="927" spans="21:21" ht="20.100000000000001" customHeight="1" x14ac:dyDescent="0.25">
      <c r="U927" s="1"/>
    </row>
    <row r="928" spans="21:21" ht="20.100000000000001" customHeight="1" x14ac:dyDescent="0.25">
      <c r="U928" s="1"/>
    </row>
    <row r="929" spans="21:21" ht="20.100000000000001" customHeight="1" x14ac:dyDescent="0.25">
      <c r="U929" s="1"/>
    </row>
    <row r="930" spans="21:21" ht="20.100000000000001" customHeight="1" x14ac:dyDescent="0.25">
      <c r="U930" s="1"/>
    </row>
    <row r="931" spans="21:21" ht="20.100000000000001" customHeight="1" x14ac:dyDescent="0.25">
      <c r="U931" s="1"/>
    </row>
    <row r="932" spans="21:21" ht="20.100000000000001" customHeight="1" x14ac:dyDescent="0.25">
      <c r="U932" s="1"/>
    </row>
    <row r="933" spans="21:21" ht="20.100000000000001" customHeight="1" x14ac:dyDescent="0.25">
      <c r="U933" s="1"/>
    </row>
    <row r="934" spans="21:21" ht="20.100000000000001" customHeight="1" x14ac:dyDescent="0.25">
      <c r="U934" s="1"/>
    </row>
    <row r="935" spans="21:21" ht="20.100000000000001" customHeight="1" x14ac:dyDescent="0.25">
      <c r="U935" s="1"/>
    </row>
    <row r="936" spans="21:21" ht="20.100000000000001" customHeight="1" x14ac:dyDescent="0.25">
      <c r="U936" s="1"/>
    </row>
    <row r="937" spans="21:21" ht="20.100000000000001" customHeight="1" x14ac:dyDescent="0.25">
      <c r="U937" s="1"/>
    </row>
    <row r="938" spans="21:21" ht="20.100000000000001" customHeight="1" x14ac:dyDescent="0.25">
      <c r="U938" s="1"/>
    </row>
    <row r="939" spans="21:21" ht="20.100000000000001" customHeight="1" x14ac:dyDescent="0.25">
      <c r="U939" s="1"/>
    </row>
    <row r="940" spans="21:21" ht="20.100000000000001" customHeight="1" x14ac:dyDescent="0.25">
      <c r="U940" s="1"/>
    </row>
    <row r="941" spans="21:21" ht="20.100000000000001" customHeight="1" x14ac:dyDescent="0.25">
      <c r="U941" s="1"/>
    </row>
    <row r="942" spans="21:21" ht="20.100000000000001" customHeight="1" x14ac:dyDescent="0.25">
      <c r="U942" s="1"/>
    </row>
    <row r="943" spans="21:21" ht="20.100000000000001" customHeight="1" x14ac:dyDescent="0.25">
      <c r="U943" s="1"/>
    </row>
    <row r="944" spans="21:21" ht="20.100000000000001" customHeight="1" x14ac:dyDescent="0.25">
      <c r="U944" s="1"/>
    </row>
    <row r="945" spans="21:21" ht="20.100000000000001" customHeight="1" x14ac:dyDescent="0.25">
      <c r="U945" s="1"/>
    </row>
    <row r="946" spans="21:21" ht="20.100000000000001" customHeight="1" x14ac:dyDescent="0.25">
      <c r="U946" s="1"/>
    </row>
    <row r="947" spans="21:21" ht="20.100000000000001" customHeight="1" x14ac:dyDescent="0.25">
      <c r="U947" s="1"/>
    </row>
    <row r="948" spans="21:21" ht="20.100000000000001" customHeight="1" x14ac:dyDescent="0.25">
      <c r="U948" s="1"/>
    </row>
    <row r="949" spans="21:21" ht="20.100000000000001" customHeight="1" x14ac:dyDescent="0.25">
      <c r="U949" s="1"/>
    </row>
    <row r="950" spans="21:21" ht="20.100000000000001" customHeight="1" x14ac:dyDescent="0.25">
      <c r="U950" s="1"/>
    </row>
    <row r="951" spans="21:21" ht="20.100000000000001" customHeight="1" x14ac:dyDescent="0.25">
      <c r="U951" s="1"/>
    </row>
    <row r="952" spans="21:21" ht="20.100000000000001" customHeight="1" x14ac:dyDescent="0.25">
      <c r="U952" s="1"/>
    </row>
    <row r="953" spans="21:21" ht="20.100000000000001" customHeight="1" x14ac:dyDescent="0.25">
      <c r="U953" s="1"/>
    </row>
    <row r="954" spans="21:21" ht="20.100000000000001" customHeight="1" x14ac:dyDescent="0.25">
      <c r="U954" s="1"/>
    </row>
    <row r="955" spans="21:21" ht="20.100000000000001" customHeight="1" x14ac:dyDescent="0.25">
      <c r="U955" s="1"/>
    </row>
    <row r="956" spans="21:21" ht="20.100000000000001" customHeight="1" x14ac:dyDescent="0.25">
      <c r="U956" s="1"/>
    </row>
    <row r="957" spans="21:21" ht="20.100000000000001" customHeight="1" x14ac:dyDescent="0.25">
      <c r="U957" s="1"/>
    </row>
    <row r="958" spans="21:21" ht="20.100000000000001" customHeight="1" x14ac:dyDescent="0.25">
      <c r="U958" s="1"/>
    </row>
    <row r="959" spans="21:21" ht="20.100000000000001" customHeight="1" x14ac:dyDescent="0.25">
      <c r="U959" s="1"/>
    </row>
    <row r="960" spans="21:21" ht="20.100000000000001" customHeight="1" x14ac:dyDescent="0.25">
      <c r="U960" s="1"/>
    </row>
    <row r="961" spans="21:21" ht="20.100000000000001" customHeight="1" x14ac:dyDescent="0.25">
      <c r="U961" s="1"/>
    </row>
    <row r="962" spans="21:21" ht="20.100000000000001" customHeight="1" x14ac:dyDescent="0.25">
      <c r="U962" s="1"/>
    </row>
    <row r="963" spans="21:21" ht="20.100000000000001" customHeight="1" x14ac:dyDescent="0.25">
      <c r="U963" s="1"/>
    </row>
    <row r="964" spans="21:21" ht="20.100000000000001" customHeight="1" x14ac:dyDescent="0.25">
      <c r="U964" s="1"/>
    </row>
    <row r="965" spans="21:21" ht="20.100000000000001" customHeight="1" x14ac:dyDescent="0.25">
      <c r="U965" s="1"/>
    </row>
    <row r="966" spans="21:21" ht="20.100000000000001" customHeight="1" x14ac:dyDescent="0.25">
      <c r="U966" s="1"/>
    </row>
    <row r="967" spans="21:21" ht="20.100000000000001" customHeight="1" x14ac:dyDescent="0.25">
      <c r="U967" s="1"/>
    </row>
    <row r="968" spans="21:21" ht="20.100000000000001" customHeight="1" x14ac:dyDescent="0.25">
      <c r="U968" s="1"/>
    </row>
    <row r="969" spans="21:21" ht="20.100000000000001" customHeight="1" x14ac:dyDescent="0.25">
      <c r="U969" s="1"/>
    </row>
    <row r="970" spans="21:21" ht="20.100000000000001" customHeight="1" x14ac:dyDescent="0.25">
      <c r="U970" s="1"/>
    </row>
    <row r="971" spans="21:21" ht="20.100000000000001" customHeight="1" x14ac:dyDescent="0.25">
      <c r="U971" s="1"/>
    </row>
    <row r="972" spans="21:21" ht="20.100000000000001" customHeight="1" x14ac:dyDescent="0.25">
      <c r="U972" s="1"/>
    </row>
    <row r="973" spans="21:21" ht="20.100000000000001" customHeight="1" x14ac:dyDescent="0.25">
      <c r="U973" s="1"/>
    </row>
    <row r="974" spans="21:21" ht="20.100000000000001" customHeight="1" x14ac:dyDescent="0.25">
      <c r="U974" s="1"/>
    </row>
    <row r="975" spans="21:21" ht="20.100000000000001" customHeight="1" x14ac:dyDescent="0.25">
      <c r="U975" s="1"/>
    </row>
    <row r="976" spans="21:21" ht="20.100000000000001" customHeight="1" x14ac:dyDescent="0.25">
      <c r="U976" s="1"/>
    </row>
    <row r="977" spans="21:21" ht="20.100000000000001" customHeight="1" x14ac:dyDescent="0.25">
      <c r="U977" s="1"/>
    </row>
    <row r="978" spans="21:21" ht="20.100000000000001" customHeight="1" x14ac:dyDescent="0.25">
      <c r="U978" s="1"/>
    </row>
    <row r="979" spans="21:21" ht="20.100000000000001" customHeight="1" x14ac:dyDescent="0.25">
      <c r="U979" s="1"/>
    </row>
    <row r="980" spans="21:21" ht="20.100000000000001" customHeight="1" x14ac:dyDescent="0.25">
      <c r="U980" s="1"/>
    </row>
    <row r="981" spans="21:21" ht="20.100000000000001" customHeight="1" x14ac:dyDescent="0.25">
      <c r="U981" s="1"/>
    </row>
    <row r="982" spans="21:21" ht="20.100000000000001" customHeight="1" x14ac:dyDescent="0.25">
      <c r="U982" s="1"/>
    </row>
    <row r="983" spans="21:21" ht="20.100000000000001" customHeight="1" x14ac:dyDescent="0.25">
      <c r="U983" s="1"/>
    </row>
    <row r="984" spans="21:21" ht="20.100000000000001" customHeight="1" x14ac:dyDescent="0.25">
      <c r="U984" s="1"/>
    </row>
    <row r="985" spans="21:21" ht="20.100000000000001" customHeight="1" x14ac:dyDescent="0.25">
      <c r="U985" s="1"/>
    </row>
    <row r="986" spans="21:21" ht="20.100000000000001" customHeight="1" x14ac:dyDescent="0.25">
      <c r="U986" s="1"/>
    </row>
    <row r="987" spans="21:21" ht="20.100000000000001" customHeight="1" x14ac:dyDescent="0.25">
      <c r="U987" s="1"/>
    </row>
    <row r="988" spans="21:21" ht="20.100000000000001" customHeight="1" x14ac:dyDescent="0.25">
      <c r="U988" s="1"/>
    </row>
    <row r="989" spans="21:21" ht="20.100000000000001" customHeight="1" x14ac:dyDescent="0.25">
      <c r="U989" s="1"/>
    </row>
    <row r="990" spans="21:21" ht="20.100000000000001" customHeight="1" x14ac:dyDescent="0.25">
      <c r="U990" s="1"/>
    </row>
    <row r="991" spans="21:21" ht="20.100000000000001" customHeight="1" x14ac:dyDescent="0.25">
      <c r="U991" s="1"/>
    </row>
    <row r="992" spans="21:21" ht="20.100000000000001" customHeight="1" x14ac:dyDescent="0.25">
      <c r="U992" s="1"/>
    </row>
    <row r="993" spans="21:21" ht="20.100000000000001" customHeight="1" x14ac:dyDescent="0.25">
      <c r="U993" s="1"/>
    </row>
    <row r="994" spans="21:21" ht="20.100000000000001" customHeight="1" x14ac:dyDescent="0.25">
      <c r="U994" s="1"/>
    </row>
    <row r="995" spans="21:21" ht="20.100000000000001" customHeight="1" x14ac:dyDescent="0.25">
      <c r="U995" s="1"/>
    </row>
    <row r="996" spans="21:21" ht="20.100000000000001" customHeight="1" x14ac:dyDescent="0.25">
      <c r="U996" s="1"/>
    </row>
    <row r="997" spans="21:21" ht="20.100000000000001" customHeight="1" x14ac:dyDescent="0.25">
      <c r="U997" s="1"/>
    </row>
    <row r="998" spans="21:21" ht="20.100000000000001" customHeight="1" x14ac:dyDescent="0.25">
      <c r="U998" s="1"/>
    </row>
    <row r="999" spans="21:21" ht="20.100000000000001" customHeight="1" x14ac:dyDescent="0.25">
      <c r="U999" s="1"/>
    </row>
    <row r="1000" spans="21:21" ht="20.100000000000001" customHeight="1" x14ac:dyDescent="0.25">
      <c r="U1000" s="1"/>
    </row>
    <row r="1001" spans="21:21" ht="20.100000000000001" customHeight="1" x14ac:dyDescent="0.25">
      <c r="U1001" s="1"/>
    </row>
    <row r="1002" spans="21:21" ht="20.100000000000001" customHeight="1" x14ac:dyDescent="0.25">
      <c r="U1002" s="1"/>
    </row>
    <row r="1003" spans="21:21" ht="20.100000000000001" customHeight="1" x14ac:dyDescent="0.25">
      <c r="U1003" s="1"/>
    </row>
    <row r="1004" spans="21:21" ht="20.100000000000001" customHeight="1" x14ac:dyDescent="0.25">
      <c r="U1004" s="1"/>
    </row>
    <row r="1005" spans="21:21" ht="20.100000000000001" customHeight="1" x14ac:dyDescent="0.25">
      <c r="U1005" s="1"/>
    </row>
    <row r="1006" spans="21:21" ht="20.100000000000001" customHeight="1" x14ac:dyDescent="0.25">
      <c r="U1006" s="1"/>
    </row>
    <row r="1007" spans="21:21" ht="20.100000000000001" customHeight="1" x14ac:dyDescent="0.25">
      <c r="U1007" s="1"/>
    </row>
    <row r="1008" spans="21:21" ht="20.100000000000001" customHeight="1" x14ac:dyDescent="0.25">
      <c r="U1008" s="1"/>
    </row>
    <row r="1009" spans="21:21" ht="20.100000000000001" customHeight="1" x14ac:dyDescent="0.25">
      <c r="U1009" s="1"/>
    </row>
    <row r="1010" spans="21:21" ht="20.100000000000001" customHeight="1" x14ac:dyDescent="0.25">
      <c r="U1010" s="1"/>
    </row>
    <row r="1011" spans="21:21" ht="20.100000000000001" customHeight="1" x14ac:dyDescent="0.25">
      <c r="U1011" s="1"/>
    </row>
    <row r="1012" spans="21:21" ht="20.100000000000001" customHeight="1" x14ac:dyDescent="0.25">
      <c r="U1012" s="1"/>
    </row>
    <row r="1013" spans="21:21" ht="20.100000000000001" customHeight="1" x14ac:dyDescent="0.25">
      <c r="U1013" s="1"/>
    </row>
    <row r="1014" spans="21:21" ht="20.100000000000001" customHeight="1" x14ac:dyDescent="0.25">
      <c r="U1014" s="1"/>
    </row>
    <row r="1015" spans="21:21" ht="20.100000000000001" customHeight="1" x14ac:dyDescent="0.25">
      <c r="U1015" s="1"/>
    </row>
    <row r="1016" spans="21:21" ht="20.100000000000001" customHeight="1" x14ac:dyDescent="0.25">
      <c r="U1016" s="1"/>
    </row>
    <row r="1017" spans="21:21" ht="20.100000000000001" customHeight="1" x14ac:dyDescent="0.25">
      <c r="U1017" s="1"/>
    </row>
    <row r="1018" spans="21:21" ht="20.100000000000001" customHeight="1" x14ac:dyDescent="0.25">
      <c r="U1018" s="1"/>
    </row>
    <row r="1019" spans="21:21" ht="20.100000000000001" customHeight="1" x14ac:dyDescent="0.25">
      <c r="U1019" s="1"/>
    </row>
    <row r="1020" spans="21:21" ht="20.100000000000001" customHeight="1" x14ac:dyDescent="0.25">
      <c r="U1020" s="1"/>
    </row>
    <row r="1021" spans="21:21" ht="20.100000000000001" customHeight="1" x14ac:dyDescent="0.25">
      <c r="U1021" s="1"/>
    </row>
    <row r="1022" spans="21:21" ht="20.100000000000001" customHeight="1" x14ac:dyDescent="0.25">
      <c r="U1022" s="1"/>
    </row>
    <row r="1023" spans="21:21" ht="20.100000000000001" customHeight="1" x14ac:dyDescent="0.25">
      <c r="U1023" s="1"/>
    </row>
    <row r="1024" spans="21:21" ht="20.100000000000001" customHeight="1" x14ac:dyDescent="0.25">
      <c r="U1024" s="1"/>
    </row>
    <row r="1025" spans="21:21" ht="20.100000000000001" customHeight="1" x14ac:dyDescent="0.25">
      <c r="U1025" s="1"/>
    </row>
    <row r="1026" spans="21:21" ht="20.100000000000001" customHeight="1" x14ac:dyDescent="0.25">
      <c r="U1026" s="1"/>
    </row>
    <row r="1027" spans="21:21" ht="20.100000000000001" customHeight="1" x14ac:dyDescent="0.25">
      <c r="U1027" s="1"/>
    </row>
    <row r="1028" spans="21:21" ht="20.100000000000001" customHeight="1" x14ac:dyDescent="0.25">
      <c r="U1028" s="1"/>
    </row>
    <row r="1029" spans="21:21" ht="20.100000000000001" customHeight="1" x14ac:dyDescent="0.25">
      <c r="U1029" s="1"/>
    </row>
    <row r="1030" spans="21:21" ht="20.100000000000001" customHeight="1" x14ac:dyDescent="0.25">
      <c r="U1030" s="1"/>
    </row>
    <row r="1031" spans="21:21" ht="20.100000000000001" customHeight="1" x14ac:dyDescent="0.25">
      <c r="U1031" s="1"/>
    </row>
    <row r="1032" spans="21:21" ht="20.100000000000001" customHeight="1" x14ac:dyDescent="0.25">
      <c r="U1032" s="1"/>
    </row>
    <row r="1033" spans="21:21" x14ac:dyDescent="0.25">
      <c r="U1033" s="1"/>
    </row>
    <row r="1034" spans="21:21" x14ac:dyDescent="0.25">
      <c r="U1034" s="1"/>
    </row>
    <row r="1035" spans="21:21" x14ac:dyDescent="0.25">
      <c r="U1035" s="1"/>
    </row>
    <row r="1036" spans="21:21" x14ac:dyDescent="0.25">
      <c r="U1036" s="1"/>
    </row>
    <row r="1037" spans="21:21" x14ac:dyDescent="0.25">
      <c r="U1037" s="1"/>
    </row>
    <row r="1038" spans="21:21" x14ac:dyDescent="0.25">
      <c r="U1038" s="1"/>
    </row>
    <row r="1039" spans="21:21" x14ac:dyDescent="0.25">
      <c r="U1039" s="1"/>
    </row>
    <row r="1040" spans="21:21" x14ac:dyDescent="0.25">
      <c r="U1040" s="1"/>
    </row>
  </sheetData>
  <autoFilter ref="A1:U127"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E955-806B-49F8-818F-D24F11A2F7D7}">
  <dimension ref="A1:T1032"/>
  <sheetViews>
    <sheetView rightToLeft="1" zoomScale="98" zoomScaleNormal="98" workbookViewId="0">
      <selection activeCell="B21" sqref="B21"/>
    </sheetView>
  </sheetViews>
  <sheetFormatPr defaultColWidth="8.85546875" defaultRowHeight="15" x14ac:dyDescent="0.25"/>
  <cols>
    <col min="1" max="1" width="16.7109375" bestFit="1" customWidth="1"/>
    <col min="2" max="2" width="11.28515625" bestFit="1" customWidth="1"/>
    <col min="3" max="3" width="12.5703125" bestFit="1" customWidth="1"/>
    <col min="4" max="4" width="12" bestFit="1" customWidth="1"/>
    <col min="5" max="5" width="11" bestFit="1" customWidth="1"/>
    <col min="6" max="6" width="8.85546875" bestFit="1" customWidth="1"/>
    <col min="7" max="8" width="9.140625" bestFit="1" customWidth="1"/>
    <col min="9" max="9" width="12.5703125" bestFit="1" customWidth="1"/>
    <col min="10" max="10" width="13.5703125" bestFit="1" customWidth="1"/>
    <col min="11" max="11" width="37.42578125" bestFit="1" customWidth="1"/>
    <col min="12" max="12" width="11" style="75" bestFit="1" customWidth="1"/>
    <col min="13" max="13" width="13" bestFit="1" customWidth="1"/>
    <col min="14" max="14" width="19.28515625" bestFit="1" customWidth="1"/>
    <col min="15" max="15" width="21" bestFit="1" customWidth="1"/>
    <col min="16" max="16" width="12.5703125" style="74" bestFit="1" customWidth="1"/>
    <col min="17" max="18" width="13.28515625" style="74" bestFit="1" customWidth="1"/>
    <col min="19" max="19" width="29" bestFit="1" customWidth="1"/>
    <col min="20" max="20" width="10" bestFit="1" customWidth="1"/>
  </cols>
  <sheetData>
    <row r="1" spans="1:20" ht="20.100000000000001" customHeight="1" x14ac:dyDescent="0.25">
      <c r="A1" t="s">
        <v>0</v>
      </c>
      <c r="B1" t="s">
        <v>377</v>
      </c>
      <c r="C1" t="s">
        <v>1</v>
      </c>
      <c r="D1" t="s">
        <v>7</v>
      </c>
      <c r="E1" t="s">
        <v>321</v>
      </c>
      <c r="F1" t="s">
        <v>322</v>
      </c>
      <c r="G1" t="s">
        <v>174</v>
      </c>
      <c r="H1" t="s">
        <v>175</v>
      </c>
      <c r="I1" t="s">
        <v>179</v>
      </c>
      <c r="J1" t="s">
        <v>180</v>
      </c>
      <c r="K1" t="s">
        <v>2</v>
      </c>
      <c r="L1" s="75" t="s">
        <v>9</v>
      </c>
      <c r="M1" t="s">
        <v>10</v>
      </c>
      <c r="N1" t="s">
        <v>373</v>
      </c>
      <c r="O1" t="s">
        <v>372</v>
      </c>
      <c r="P1" s="74" t="s">
        <v>12</v>
      </c>
      <c r="Q1" s="74" t="s">
        <v>11</v>
      </c>
      <c r="R1" s="74" t="s">
        <v>3</v>
      </c>
      <c r="S1" t="s">
        <v>4</v>
      </c>
      <c r="T1" t="s">
        <v>190</v>
      </c>
    </row>
    <row r="2" spans="1:20" ht="20.100000000000001" customHeight="1" x14ac:dyDescent="0.25">
      <c r="A2" t="s">
        <v>323</v>
      </c>
      <c r="B2" t="s">
        <v>378</v>
      </c>
      <c r="C2" t="s">
        <v>384</v>
      </c>
      <c r="D2" t="s">
        <v>8</v>
      </c>
      <c r="E2" t="s">
        <v>150</v>
      </c>
      <c r="F2" t="s">
        <v>151</v>
      </c>
      <c r="G2" t="str">
        <f t="shared" ref="G2:I3" si="0">G4</f>
        <v>كيفنج</v>
      </c>
      <c r="H2">
        <f t="shared" si="0"/>
        <v>90</v>
      </c>
      <c r="I2" t="str">
        <f t="shared" si="0"/>
        <v>ازرق</v>
      </c>
      <c r="J2" t="str">
        <f t="shared" ref="J2:J6" si="1">J4</f>
        <v>غير معروف</v>
      </c>
      <c r="K2" t="s">
        <v>15</v>
      </c>
      <c r="L2" s="75">
        <v>10160</v>
      </c>
      <c r="M2" t="s">
        <v>16</v>
      </c>
      <c r="N2">
        <f>IF(OR(ISBLANK(store[[#This Row],[تاريخ التسليم]]),ISBLANK(store[[#This Row],[ميعاد الطلب]])),0,store[[#This Row],[تاريخ التسليم]]-store[[#This Row],[ميعاد الطلب]])</f>
        <v>14</v>
      </c>
      <c r="O2">
        <f>IF(OR(ISBLANK(store[[#This Row],[ميعاد التسليم]]),ISBLANK(store[[#This Row],[ميعاد الطلب]])),0,store[[#This Row],[ميعاد التسليم]]-store[[#This Row],[ميعاد الطلب]])</f>
        <v>0</v>
      </c>
      <c r="P2" s="74">
        <f t="shared" ref="P2:P4" si="2">DATE(2024,7,27)</f>
        <v>45500</v>
      </c>
      <c r="R2" s="74">
        <v>45514</v>
      </c>
      <c r="S2" t="s">
        <v>28</v>
      </c>
      <c r="T2" t="s">
        <v>191</v>
      </c>
    </row>
    <row r="3" spans="1:20" ht="20.100000000000001" customHeight="1" x14ac:dyDescent="0.25">
      <c r="A3" t="s">
        <v>18</v>
      </c>
      <c r="B3" t="s">
        <v>378</v>
      </c>
      <c r="C3" t="s">
        <v>386</v>
      </c>
      <c r="D3" t="s">
        <v>8</v>
      </c>
      <c r="E3" t="s">
        <v>150</v>
      </c>
      <c r="F3" t="s">
        <v>151</v>
      </c>
      <c r="G3" t="str">
        <f t="shared" si="0"/>
        <v>غير معروف</v>
      </c>
      <c r="H3" t="str">
        <f t="shared" si="0"/>
        <v>غير معروف</v>
      </c>
      <c r="I3" t="str">
        <f t="shared" si="0"/>
        <v>غير معروف</v>
      </c>
      <c r="J3" t="str">
        <f t="shared" si="1"/>
        <v>غير معروف</v>
      </c>
      <c r="K3" t="s">
        <v>20</v>
      </c>
      <c r="L3" s="75">
        <v>10160</v>
      </c>
      <c r="M3">
        <v>9749</v>
      </c>
      <c r="N3">
        <f>IF(OR(ISBLANK(store[[#This Row],[تاريخ التسليم]]),ISBLANK(store[[#This Row],[ميعاد الطلب]])),0,store[[#This Row],[تاريخ التسليم]]-store[[#This Row],[ميعاد الطلب]])</f>
        <v>14</v>
      </c>
      <c r="O3">
        <f>IF(OR(ISBLANK(store[[#This Row],[ميعاد التسليم]]),ISBLANK(store[[#This Row],[ميعاد الطلب]])),0,store[[#This Row],[ميعاد التسليم]]-store[[#This Row],[ميعاد الطلب]])</f>
        <v>0</v>
      </c>
      <c r="P3" s="74">
        <f t="shared" ref="P3" si="3">DATE(2024,7,28)</f>
        <v>45501</v>
      </c>
      <c r="R3" s="74">
        <v>45515</v>
      </c>
      <c r="S3" t="s">
        <v>28</v>
      </c>
      <c r="T3" t="s">
        <v>191</v>
      </c>
    </row>
    <row r="4" spans="1:20" ht="20.100000000000001" customHeight="1" x14ac:dyDescent="0.25">
      <c r="A4" t="s">
        <v>22</v>
      </c>
      <c r="B4" t="s">
        <v>378</v>
      </c>
      <c r="C4" t="s">
        <v>388</v>
      </c>
      <c r="D4" t="s">
        <v>8</v>
      </c>
      <c r="E4" t="s">
        <v>150</v>
      </c>
      <c r="F4" t="s">
        <v>165</v>
      </c>
      <c r="G4" t="s">
        <v>155</v>
      </c>
      <c r="H4">
        <v>90</v>
      </c>
      <c r="I4" t="s">
        <v>170</v>
      </c>
      <c r="J4" t="str">
        <f t="shared" si="1"/>
        <v>غير معروف</v>
      </c>
      <c r="K4" t="s">
        <v>24</v>
      </c>
      <c r="L4" s="75">
        <v>11455</v>
      </c>
      <c r="M4" s="75">
        <v>10067.68</v>
      </c>
      <c r="N4" s="75">
        <f>IF(OR(ISBLANK(store[[#This Row],[تاريخ التسليم]]),ISBLANK(store[[#This Row],[ميعاد الطلب]])),0,store[[#This Row],[تاريخ التسليم]]-store[[#This Row],[ميعاد الطلب]])</f>
        <v>0</v>
      </c>
      <c r="O4" s="75">
        <f>IF(OR(ISBLANK(store[[#This Row],[ميعاد التسليم]]),ISBLANK(store[[#This Row],[ميعاد الطلب]])),0,store[[#This Row],[ميعاد التسليم]]-store[[#This Row],[ميعاد الطلب]])</f>
        <v>0</v>
      </c>
      <c r="P4" s="74">
        <f t="shared" si="2"/>
        <v>45500</v>
      </c>
      <c r="S4" t="s">
        <v>37</v>
      </c>
      <c r="T4" t="s">
        <v>192</v>
      </c>
    </row>
    <row r="5" spans="1:20" ht="20.100000000000001" customHeight="1" x14ac:dyDescent="0.25">
      <c r="A5" t="s">
        <v>25</v>
      </c>
      <c r="B5" t="s">
        <v>378</v>
      </c>
      <c r="C5" t="s">
        <v>387</v>
      </c>
      <c r="D5" t="s">
        <v>8</v>
      </c>
      <c r="E5" t="s">
        <v>292</v>
      </c>
      <c r="G5" t="str">
        <f t="shared" ref="G5:I5" si="4">G7</f>
        <v>غير معروف</v>
      </c>
      <c r="H5" t="str">
        <f t="shared" si="4"/>
        <v>غير معروف</v>
      </c>
      <c r="I5" t="str">
        <f t="shared" si="4"/>
        <v>غير معروف</v>
      </c>
      <c r="J5" t="str">
        <f t="shared" si="1"/>
        <v>غير معروف</v>
      </c>
      <c r="K5" t="s">
        <v>27</v>
      </c>
      <c r="L5" s="75">
        <v>8642</v>
      </c>
      <c r="M5" t="s">
        <v>16</v>
      </c>
      <c r="N5">
        <f>IF(OR(ISBLANK(store[[#This Row],[تاريخ التسليم]]),ISBLANK(store[[#This Row],[ميعاد الطلب]])),0,store[[#This Row],[تاريخ التسليم]]-store[[#This Row],[ميعاد الطلب]])</f>
        <v>2</v>
      </c>
      <c r="O5">
        <f>IF(OR(ISBLANK(store[[#This Row],[ميعاد التسليم]]),ISBLANK(store[[#This Row],[ميعاد الطلب]])),0,store[[#This Row],[ميعاد التسليم]]-store[[#This Row],[ميعاد الطلب]])</f>
        <v>13</v>
      </c>
      <c r="P5" s="74">
        <v>45529</v>
      </c>
      <c r="Q5" s="74">
        <v>45542</v>
      </c>
      <c r="R5" s="74">
        <v>45531</v>
      </c>
      <c r="S5" t="s">
        <v>28</v>
      </c>
      <c r="T5" t="s">
        <v>191</v>
      </c>
    </row>
    <row r="6" spans="1:20" ht="20.100000000000001" customHeight="1" x14ac:dyDescent="0.25">
      <c r="A6" t="s">
        <v>324</v>
      </c>
      <c r="B6" t="s">
        <v>378</v>
      </c>
      <c r="C6" t="s">
        <v>388</v>
      </c>
      <c r="D6" t="s">
        <v>8</v>
      </c>
      <c r="E6" t="s">
        <v>150</v>
      </c>
      <c r="F6" t="s">
        <v>165</v>
      </c>
      <c r="G6" t="s">
        <v>152</v>
      </c>
      <c r="H6">
        <v>100</v>
      </c>
      <c r="I6" t="s">
        <v>172</v>
      </c>
      <c r="J6" t="str">
        <f t="shared" si="1"/>
        <v>غير معروف</v>
      </c>
      <c r="K6" t="s">
        <v>30</v>
      </c>
      <c r="L6" s="75">
        <v>12833</v>
      </c>
      <c r="M6" s="75">
        <v>12974.22</v>
      </c>
      <c r="N6" s="75">
        <f>IF(OR(ISBLANK(store[[#This Row],[تاريخ التسليم]]),ISBLANK(store[[#This Row],[ميعاد الطلب]])),0,store[[#This Row],[تاريخ التسليم]]-store[[#This Row],[ميعاد الطلب]])</f>
        <v>0</v>
      </c>
      <c r="O6" s="75">
        <f>IF(OR(ISBLANK(store[[#This Row],[ميعاد التسليم]]),ISBLANK(store[[#This Row],[ميعاد الطلب]])),0,store[[#This Row],[ميعاد التسليم]]-store[[#This Row],[ميعاد الطلب]])</f>
        <v>15</v>
      </c>
      <c r="P6" s="74">
        <v>45520</v>
      </c>
      <c r="Q6" s="74">
        <v>45535</v>
      </c>
      <c r="S6" t="s">
        <v>37</v>
      </c>
      <c r="T6" t="s">
        <v>192</v>
      </c>
    </row>
    <row r="7" spans="1:20" ht="20.100000000000001" customHeight="1" x14ac:dyDescent="0.25">
      <c r="A7" t="s">
        <v>52</v>
      </c>
      <c r="B7" t="s">
        <v>379</v>
      </c>
      <c r="C7" t="s">
        <v>384</v>
      </c>
      <c r="D7" t="s">
        <v>52</v>
      </c>
      <c r="E7" t="s">
        <v>161</v>
      </c>
      <c r="F7" t="s">
        <v>206</v>
      </c>
      <c r="G7" t="str">
        <f t="shared" ref="G7:J9" si="5">G9</f>
        <v>غير معروف</v>
      </c>
      <c r="H7" t="str">
        <f t="shared" si="5"/>
        <v>غير معروف</v>
      </c>
      <c r="I7" t="str">
        <f t="shared" si="5"/>
        <v>غير معروف</v>
      </c>
      <c r="J7" t="str">
        <f t="shared" si="5"/>
        <v>غير معروف</v>
      </c>
      <c r="K7" t="s">
        <v>32</v>
      </c>
      <c r="L7" s="75">
        <v>14550</v>
      </c>
      <c r="M7" t="s">
        <v>16</v>
      </c>
      <c r="N7">
        <f>IF(OR(ISBLANK(store[[#This Row],[تاريخ التسليم]]),ISBLANK(store[[#This Row],[ميعاد الطلب]])),0,store[[#This Row],[تاريخ التسليم]]-store[[#This Row],[ميعاد الطلب]])</f>
        <v>22</v>
      </c>
      <c r="O7">
        <f>IF(OR(ISBLANK(store[[#This Row],[ميعاد التسليم]]),ISBLANK(store[[#This Row],[ميعاد الطلب]])),0,store[[#This Row],[ميعاد التسليم]]-store[[#This Row],[ميعاد الطلب]])</f>
        <v>20</v>
      </c>
      <c r="P7" s="74">
        <v>45518</v>
      </c>
      <c r="Q7" s="74">
        <v>45538</v>
      </c>
      <c r="R7" s="74">
        <v>45540</v>
      </c>
      <c r="S7" t="s">
        <v>28</v>
      </c>
      <c r="T7" t="s">
        <v>191</v>
      </c>
    </row>
    <row r="8" spans="1:20" ht="20.100000000000001" customHeight="1" x14ac:dyDescent="0.25">
      <c r="A8" t="s">
        <v>325</v>
      </c>
      <c r="B8" t="s">
        <v>378</v>
      </c>
      <c r="C8" t="s">
        <v>385</v>
      </c>
      <c r="D8" t="s">
        <v>35</v>
      </c>
      <c r="E8" t="s">
        <v>161</v>
      </c>
      <c r="F8" t="s">
        <v>206</v>
      </c>
      <c r="G8" t="str">
        <f t="shared" si="5"/>
        <v>غير معروف</v>
      </c>
      <c r="H8" t="str">
        <f t="shared" si="5"/>
        <v>غير معروف</v>
      </c>
      <c r="I8" t="str">
        <f t="shared" si="5"/>
        <v>غير معروف</v>
      </c>
      <c r="J8" t="str">
        <f t="shared" si="5"/>
        <v>غير معروف</v>
      </c>
      <c r="K8" t="s">
        <v>32</v>
      </c>
      <c r="L8" s="75">
        <v>12000</v>
      </c>
      <c r="M8">
        <v>12000</v>
      </c>
      <c r="N8">
        <f>IF(OR(ISBLANK(store[[#This Row],[تاريخ التسليم]]),ISBLANK(store[[#This Row],[ميعاد الطلب]])),0,store[[#This Row],[تاريخ التسليم]]-store[[#This Row],[ميعاد الطلب]])</f>
        <v>2</v>
      </c>
      <c r="O8">
        <f>IF(OR(ISBLANK(store[[#This Row],[ميعاد التسليم]]),ISBLANK(store[[#This Row],[ميعاد الطلب]])),0,store[[#This Row],[ميعاد التسليم]]-store[[#This Row],[ميعاد الطلب]])</f>
        <v>3</v>
      </c>
      <c r="P8" s="74">
        <v>45521</v>
      </c>
      <c r="Q8" s="74">
        <v>45524</v>
      </c>
      <c r="R8" s="74">
        <v>45523</v>
      </c>
      <c r="S8" t="s">
        <v>36</v>
      </c>
      <c r="T8" t="s">
        <v>191</v>
      </c>
    </row>
    <row r="9" spans="1:20" ht="20.100000000000001" customHeight="1" x14ac:dyDescent="0.25">
      <c r="A9" t="s">
        <v>38</v>
      </c>
      <c r="B9" t="s">
        <v>378</v>
      </c>
      <c r="C9" t="s">
        <v>384</v>
      </c>
      <c r="D9" t="s">
        <v>8</v>
      </c>
      <c r="E9" t="s">
        <v>150</v>
      </c>
      <c r="F9" t="s">
        <v>153</v>
      </c>
      <c r="G9" t="str">
        <f t="shared" si="5"/>
        <v>غير معروف</v>
      </c>
      <c r="H9" t="str">
        <f t="shared" si="5"/>
        <v>غير معروف</v>
      </c>
      <c r="I9" t="str">
        <f t="shared" si="5"/>
        <v>غير معروف</v>
      </c>
      <c r="J9" t="str">
        <f t="shared" si="5"/>
        <v>غير معروف</v>
      </c>
      <c r="K9" t="s">
        <v>40</v>
      </c>
      <c r="L9" s="75">
        <v>7228</v>
      </c>
      <c r="M9" t="s">
        <v>16</v>
      </c>
      <c r="N9">
        <f>IF(OR(ISBLANK(store[[#This Row],[تاريخ التسليم]]),ISBLANK(store[[#This Row],[ميعاد الطلب]])),0,store[[#This Row],[تاريخ التسليم]]-store[[#This Row],[ميعاد الطلب]])</f>
        <v>16</v>
      </c>
      <c r="O9">
        <f>IF(OR(ISBLANK(store[[#This Row],[ميعاد التسليم]]),ISBLANK(store[[#This Row],[ميعاد الطلب]])),0,store[[#This Row],[ميعاد التسليم]]-store[[#This Row],[ميعاد الطلب]])</f>
        <v>9</v>
      </c>
      <c r="P9" s="74">
        <v>45529</v>
      </c>
      <c r="Q9" s="74">
        <v>45538</v>
      </c>
      <c r="R9" s="74">
        <v>45545</v>
      </c>
      <c r="S9" t="s">
        <v>28</v>
      </c>
      <c r="T9" t="s">
        <v>191</v>
      </c>
    </row>
    <row r="10" spans="1:20" ht="20.100000000000001" customHeight="1" x14ac:dyDescent="0.25">
      <c r="A10" t="s">
        <v>43</v>
      </c>
      <c r="B10" t="s">
        <v>379</v>
      </c>
      <c r="C10" t="s">
        <v>385</v>
      </c>
      <c r="D10" t="s">
        <v>43</v>
      </c>
      <c r="E10" t="s">
        <v>158</v>
      </c>
      <c r="F10" t="s">
        <v>160</v>
      </c>
      <c r="G10" t="s">
        <v>320</v>
      </c>
      <c r="H10" t="s">
        <v>320</v>
      </c>
      <c r="I10" t="s">
        <v>320</v>
      </c>
      <c r="J10" t="s">
        <v>320</v>
      </c>
      <c r="K10" t="s">
        <v>359</v>
      </c>
      <c r="L10" s="75">
        <v>22000</v>
      </c>
      <c r="M10">
        <v>22000</v>
      </c>
      <c r="N10">
        <f>IF(OR(ISBLANK(store[[#This Row],[تاريخ التسليم]]),ISBLANK(store[[#This Row],[ميعاد الطلب]])),0,store[[#This Row],[تاريخ التسليم]]-store[[#This Row],[ميعاد الطلب]])</f>
        <v>29</v>
      </c>
      <c r="O10">
        <f>IF(OR(ISBLANK(store[[#This Row],[ميعاد التسليم]]),ISBLANK(store[[#This Row],[ميعاد الطلب]])),0,store[[#This Row],[ميعاد التسليم]]-store[[#This Row],[ميعاد الطلب]])</f>
        <v>13</v>
      </c>
      <c r="P10" s="74">
        <v>45523</v>
      </c>
      <c r="Q10" s="74">
        <v>45536</v>
      </c>
      <c r="R10" s="74">
        <v>45552</v>
      </c>
      <c r="S10" t="s">
        <v>320</v>
      </c>
      <c r="T10" t="s">
        <v>191</v>
      </c>
    </row>
    <row r="11" spans="1:20" ht="20.100000000000001" customHeight="1" x14ac:dyDescent="0.25">
      <c r="A11" t="s">
        <v>43</v>
      </c>
      <c r="B11" t="s">
        <v>379</v>
      </c>
      <c r="C11" t="s">
        <v>385</v>
      </c>
      <c r="D11" t="s">
        <v>43</v>
      </c>
      <c r="E11" t="s">
        <v>161</v>
      </c>
      <c r="F11" t="s">
        <v>159</v>
      </c>
      <c r="G11" t="str">
        <f t="shared" ref="G11:J11" si="6">G13</f>
        <v>غير معروف</v>
      </c>
      <c r="H11" t="str">
        <f t="shared" si="6"/>
        <v>غير معروف</v>
      </c>
      <c r="I11" t="str">
        <f t="shared" si="6"/>
        <v>غير معروف</v>
      </c>
      <c r="J11" t="str">
        <f t="shared" si="6"/>
        <v>غير معروف</v>
      </c>
      <c r="K11" t="s">
        <v>45</v>
      </c>
      <c r="L11" s="75">
        <v>16000</v>
      </c>
      <c r="M11">
        <v>16000</v>
      </c>
      <c r="N11">
        <f>IF(OR(ISBLANK(store[[#This Row],[تاريخ التسليم]]),ISBLANK(store[[#This Row],[ميعاد الطلب]])),0,store[[#This Row],[تاريخ التسليم]]-store[[#This Row],[ميعاد الطلب]])</f>
        <v>0</v>
      </c>
      <c r="O11">
        <f>IF(OR(ISBLANK(store[[#This Row],[ميعاد التسليم]]),ISBLANK(store[[#This Row],[ميعاد الطلب]])),0,store[[#This Row],[ميعاد التسليم]]-store[[#This Row],[ميعاد الطلب]])</f>
        <v>0</v>
      </c>
      <c r="S11" t="s">
        <v>109</v>
      </c>
      <c r="T11" t="s">
        <v>236</v>
      </c>
    </row>
    <row r="12" spans="1:20" ht="20.100000000000001" customHeight="1" x14ac:dyDescent="0.25">
      <c r="A12" t="s">
        <v>43</v>
      </c>
      <c r="B12" t="s">
        <v>379</v>
      </c>
      <c r="C12" t="s">
        <v>385</v>
      </c>
      <c r="D12" t="s">
        <v>43</v>
      </c>
      <c r="E12" t="s">
        <v>161</v>
      </c>
      <c r="F12" t="s">
        <v>159</v>
      </c>
      <c r="G12" t="s">
        <v>320</v>
      </c>
      <c r="H12" t="s">
        <v>320</v>
      </c>
      <c r="I12" t="s">
        <v>320</v>
      </c>
      <c r="J12" t="s">
        <v>320</v>
      </c>
      <c r="K12" t="s">
        <v>47</v>
      </c>
      <c r="L12" s="75">
        <v>6000</v>
      </c>
      <c r="M12">
        <v>12000</v>
      </c>
      <c r="N12">
        <f>IF(OR(ISBLANK(store[[#This Row],[تاريخ التسليم]]),ISBLANK(store[[#This Row],[ميعاد الطلب]])),0,store[[#This Row],[تاريخ التسليم]]-store[[#This Row],[ميعاد الطلب]])</f>
        <v>23</v>
      </c>
      <c r="O12">
        <f>IF(OR(ISBLANK(store[[#This Row],[ميعاد التسليم]]),ISBLANK(store[[#This Row],[ميعاد الطلب]])),0,store[[#This Row],[ميعاد التسليم]]-store[[#This Row],[ميعاد الطلب]])</f>
        <v>21</v>
      </c>
      <c r="P12" s="74">
        <v>45529</v>
      </c>
      <c r="Q12" s="74">
        <v>45550</v>
      </c>
      <c r="R12" s="74">
        <v>45552</v>
      </c>
      <c r="S12" t="s">
        <v>199</v>
      </c>
      <c r="T12" t="s">
        <v>191</v>
      </c>
    </row>
    <row r="13" spans="1:20" ht="20.100000000000001" customHeight="1" x14ac:dyDescent="0.25">
      <c r="A13" t="s">
        <v>43</v>
      </c>
      <c r="B13" t="s">
        <v>379</v>
      </c>
      <c r="C13" t="s">
        <v>385</v>
      </c>
      <c r="D13" t="s">
        <v>43</v>
      </c>
      <c r="E13" t="s">
        <v>161</v>
      </c>
      <c r="F13" t="s">
        <v>159</v>
      </c>
      <c r="G13" t="s">
        <v>320</v>
      </c>
      <c r="H13" t="s">
        <v>320</v>
      </c>
      <c r="I13" t="s">
        <v>320</v>
      </c>
      <c r="J13" t="s">
        <v>320</v>
      </c>
      <c r="K13" t="s">
        <v>47</v>
      </c>
      <c r="L13" s="75">
        <v>6000</v>
      </c>
      <c r="M13">
        <v>12000</v>
      </c>
      <c r="N13">
        <f>IF(OR(ISBLANK(store[[#This Row],[تاريخ التسليم]]),ISBLANK(store[[#This Row],[ميعاد الطلب]])),0,store[[#This Row],[تاريخ التسليم]]-store[[#This Row],[ميعاد الطلب]])</f>
        <v>23</v>
      </c>
      <c r="O13">
        <f>IF(OR(ISBLANK(store[[#This Row],[ميعاد التسليم]]),ISBLANK(store[[#This Row],[ميعاد الطلب]])),0,store[[#This Row],[ميعاد التسليم]]-store[[#This Row],[ميعاد الطلب]])</f>
        <v>21</v>
      </c>
      <c r="P13" s="74">
        <v>45529</v>
      </c>
      <c r="Q13" s="74">
        <v>45550</v>
      </c>
      <c r="R13" s="74">
        <v>45552</v>
      </c>
      <c r="S13" t="s">
        <v>199</v>
      </c>
      <c r="T13" t="s">
        <v>191</v>
      </c>
    </row>
    <row r="14" spans="1:20" ht="20.100000000000001" customHeight="1" x14ac:dyDescent="0.25">
      <c r="A14" t="s">
        <v>326</v>
      </c>
      <c r="B14" t="s">
        <v>378</v>
      </c>
      <c r="C14" t="s">
        <v>385</v>
      </c>
      <c r="D14" t="s">
        <v>8</v>
      </c>
      <c r="E14" t="s">
        <v>150</v>
      </c>
      <c r="F14" t="s">
        <v>165</v>
      </c>
      <c r="G14" t="s">
        <v>152</v>
      </c>
      <c r="H14">
        <v>80</v>
      </c>
      <c r="I14" t="s">
        <v>167</v>
      </c>
      <c r="J14" t="str">
        <f t="shared" ref="J14:J15" si="7">J16</f>
        <v>اسود</v>
      </c>
      <c r="K14" t="s">
        <v>50</v>
      </c>
      <c r="L14" s="75">
        <v>10499</v>
      </c>
      <c r="M14">
        <v>8924</v>
      </c>
      <c r="N14">
        <f>IF(OR(ISBLANK(store[[#This Row],[تاريخ التسليم]]),ISBLANK(store[[#This Row],[ميعاد الطلب]])),0,store[[#This Row],[تاريخ التسليم]]-store[[#This Row],[ميعاد الطلب]])</f>
        <v>7</v>
      </c>
      <c r="O14">
        <f>IF(OR(ISBLANK(store[[#This Row],[ميعاد التسليم]]),ISBLANK(store[[#This Row],[ميعاد الطلب]])),0,store[[#This Row],[ميعاد التسليم]]-store[[#This Row],[ميعاد الطلب]])</f>
        <v>15</v>
      </c>
      <c r="P14" s="74">
        <v>45536</v>
      </c>
      <c r="Q14" s="74">
        <v>45551</v>
      </c>
      <c r="R14" s="74">
        <v>45543</v>
      </c>
      <c r="S14" t="s">
        <v>28</v>
      </c>
      <c r="T14" t="s">
        <v>191</v>
      </c>
    </row>
    <row r="15" spans="1:20" ht="20.100000000000001" customHeight="1" x14ac:dyDescent="0.25">
      <c r="A15" t="s">
        <v>327</v>
      </c>
      <c r="B15" t="s">
        <v>378</v>
      </c>
      <c r="C15" t="s">
        <v>384</v>
      </c>
      <c r="D15" t="s">
        <v>8</v>
      </c>
      <c r="E15" t="s">
        <v>150</v>
      </c>
      <c r="F15" t="s">
        <v>153</v>
      </c>
      <c r="G15" t="s">
        <v>152</v>
      </c>
      <c r="H15">
        <v>80</v>
      </c>
      <c r="I15" t="s">
        <v>167</v>
      </c>
      <c r="J15" t="str">
        <f t="shared" si="7"/>
        <v>اسود</v>
      </c>
      <c r="K15" t="s">
        <v>66</v>
      </c>
      <c r="L15" s="75">
        <v>7295</v>
      </c>
      <c r="M15">
        <v>5895</v>
      </c>
      <c r="N15">
        <f>IF(OR(ISBLANK(store[[#This Row],[تاريخ التسليم]]),ISBLANK(store[[#This Row],[ميعاد الطلب]])),0,store[[#This Row],[تاريخ التسليم]]-store[[#This Row],[ميعاد الطلب]])</f>
        <v>0</v>
      </c>
      <c r="O15">
        <f>IF(OR(ISBLANK(store[[#This Row],[ميعاد التسليم]]),ISBLANK(store[[#This Row],[ميعاد الطلب]])),0,store[[#This Row],[ميعاد التسليم]]-store[[#This Row],[ميعاد الطلب]])</f>
        <v>9</v>
      </c>
      <c r="P15" s="74">
        <v>45540</v>
      </c>
      <c r="Q15" s="74">
        <v>45549</v>
      </c>
      <c r="S15" t="s">
        <v>320</v>
      </c>
      <c r="T15" t="s">
        <v>236</v>
      </c>
    </row>
    <row r="16" spans="1:20" ht="20.100000000000001" customHeight="1" x14ac:dyDescent="0.25">
      <c r="A16" t="s">
        <v>328</v>
      </c>
      <c r="B16" t="s">
        <v>378</v>
      </c>
      <c r="C16" t="s">
        <v>385</v>
      </c>
      <c r="D16" t="s">
        <v>8</v>
      </c>
      <c r="E16" t="s">
        <v>292</v>
      </c>
      <c r="F16" t="s">
        <v>187</v>
      </c>
      <c r="G16" t="str">
        <f t="shared" ref="G16:J16" si="8">G18</f>
        <v>كيفنج</v>
      </c>
      <c r="H16">
        <f t="shared" si="8"/>
        <v>120</v>
      </c>
      <c r="I16" t="str">
        <f t="shared" si="8"/>
        <v>اسود</v>
      </c>
      <c r="J16" t="str">
        <f t="shared" si="8"/>
        <v>اسود</v>
      </c>
      <c r="K16" t="s">
        <v>63</v>
      </c>
      <c r="L16" s="75">
        <v>7849</v>
      </c>
      <c r="M16" t="s">
        <v>16</v>
      </c>
      <c r="N16">
        <f>IF(OR(ISBLANK(store[[#This Row],[تاريخ التسليم]]),ISBLANK(store[[#This Row],[ميعاد الطلب]])),0,store[[#This Row],[تاريخ التسليم]]-store[[#This Row],[ميعاد الطلب]])</f>
        <v>21</v>
      </c>
      <c r="O16">
        <f>IF(OR(ISBLANK(store[[#This Row],[ميعاد التسليم]]),ISBLANK(store[[#This Row],[ميعاد الطلب]])),0,store[[#This Row],[ميعاد التسليم]]-store[[#This Row],[ميعاد الطلب]])</f>
        <v>12</v>
      </c>
      <c r="P16" s="74">
        <v>45539</v>
      </c>
      <c r="Q16" s="74">
        <v>45551</v>
      </c>
      <c r="R16" s="74">
        <v>45560</v>
      </c>
      <c r="S16" t="s">
        <v>28</v>
      </c>
      <c r="T16" t="s">
        <v>208</v>
      </c>
    </row>
    <row r="17" spans="1:20" ht="20.100000000000001" customHeight="1" x14ac:dyDescent="0.25">
      <c r="A17" t="s">
        <v>329</v>
      </c>
      <c r="B17" t="s">
        <v>378</v>
      </c>
      <c r="C17" t="s">
        <v>385</v>
      </c>
      <c r="D17" t="s">
        <v>392</v>
      </c>
      <c r="E17" t="s">
        <v>150</v>
      </c>
      <c r="F17" t="s">
        <v>165</v>
      </c>
      <c r="G17" t="s">
        <v>155</v>
      </c>
      <c r="H17">
        <v>120</v>
      </c>
      <c r="I17" t="s">
        <v>168</v>
      </c>
      <c r="J17" t="s">
        <v>168</v>
      </c>
      <c r="K17" t="s">
        <v>57</v>
      </c>
      <c r="L17" s="75">
        <v>6180</v>
      </c>
      <c r="M17">
        <v>9700</v>
      </c>
      <c r="N17">
        <f>IF(OR(ISBLANK(store[[#This Row],[تاريخ التسليم]]),ISBLANK(store[[#This Row],[ميعاد الطلب]])),0,store[[#This Row],[تاريخ التسليم]]-store[[#This Row],[ميعاد الطلب]])</f>
        <v>12</v>
      </c>
      <c r="O17">
        <f>IF(OR(ISBLANK(store[[#This Row],[ميعاد التسليم]]),ISBLANK(store[[#This Row],[ميعاد الطلب]])),0,store[[#This Row],[ميعاد التسليم]]-store[[#This Row],[ميعاد الطلب]])</f>
        <v>13</v>
      </c>
      <c r="P17" s="74">
        <v>45538</v>
      </c>
      <c r="Q17" s="74">
        <v>45551</v>
      </c>
      <c r="R17" s="74">
        <v>45550</v>
      </c>
      <c r="S17" t="s">
        <v>199</v>
      </c>
      <c r="T17" t="s">
        <v>191</v>
      </c>
    </row>
    <row r="18" spans="1:20" ht="20.100000000000001" customHeight="1" x14ac:dyDescent="0.25">
      <c r="A18" t="s">
        <v>329</v>
      </c>
      <c r="B18" t="s">
        <v>378</v>
      </c>
      <c r="C18" t="s">
        <v>385</v>
      </c>
      <c r="D18" t="s">
        <v>392</v>
      </c>
      <c r="E18" t="s">
        <v>150</v>
      </c>
      <c r="F18" t="s">
        <v>165</v>
      </c>
      <c r="G18" t="s">
        <v>155</v>
      </c>
      <c r="H18">
        <v>120</v>
      </c>
      <c r="I18" t="s">
        <v>168</v>
      </c>
      <c r="J18" t="s">
        <v>168</v>
      </c>
      <c r="K18" t="s">
        <v>57</v>
      </c>
      <c r="L18" s="75">
        <v>6180</v>
      </c>
      <c r="M18">
        <v>9700</v>
      </c>
      <c r="N18">
        <f>IF(OR(ISBLANK(store[[#This Row],[تاريخ التسليم]]),ISBLANK(store[[#This Row],[ميعاد الطلب]])),0,store[[#This Row],[تاريخ التسليم]]-store[[#This Row],[ميعاد الطلب]])</f>
        <v>12</v>
      </c>
      <c r="O18">
        <f>IF(OR(ISBLANK(store[[#This Row],[ميعاد التسليم]]),ISBLANK(store[[#This Row],[ميعاد الطلب]])),0,store[[#This Row],[ميعاد التسليم]]-store[[#This Row],[ميعاد الطلب]])</f>
        <v>13</v>
      </c>
      <c r="P18" s="74">
        <v>45538</v>
      </c>
      <c r="Q18" s="74">
        <v>45551</v>
      </c>
      <c r="R18" s="74">
        <v>45550</v>
      </c>
      <c r="S18" t="s">
        <v>199</v>
      </c>
      <c r="T18" t="s">
        <v>191</v>
      </c>
    </row>
    <row r="19" spans="1:20" ht="20.100000000000001" customHeight="1" x14ac:dyDescent="0.25">
      <c r="A19" t="s">
        <v>58</v>
      </c>
      <c r="B19" t="s">
        <v>378</v>
      </c>
      <c r="C19" t="s">
        <v>385</v>
      </c>
      <c r="D19" t="s">
        <v>8</v>
      </c>
      <c r="E19" t="s">
        <v>150</v>
      </c>
      <c r="F19" t="s">
        <v>165</v>
      </c>
      <c r="G19" t="s">
        <v>154</v>
      </c>
      <c r="H19">
        <v>80</v>
      </c>
      <c r="I19" t="s">
        <v>167</v>
      </c>
      <c r="J19" t="str">
        <f t="shared" ref="J19:J32" si="9">J21</f>
        <v>اسود</v>
      </c>
      <c r="K19" t="s">
        <v>60</v>
      </c>
      <c r="L19" s="75">
        <v>11199</v>
      </c>
      <c r="M19">
        <v>11310</v>
      </c>
      <c r="N19">
        <f>IF(OR(ISBLANK(store[[#This Row],[تاريخ التسليم]]),ISBLANK(store[[#This Row],[ميعاد الطلب]])),0,store[[#This Row],[تاريخ التسليم]]-store[[#This Row],[ميعاد الطلب]])</f>
        <v>0</v>
      </c>
      <c r="O19">
        <f>IF(OR(ISBLANK(store[[#This Row],[ميعاد التسليم]]),ISBLANK(store[[#This Row],[ميعاد الطلب]])),0,store[[#This Row],[ميعاد التسليم]]-store[[#This Row],[ميعاد الطلب]])</f>
        <v>14</v>
      </c>
      <c r="P19" s="74">
        <v>45539</v>
      </c>
      <c r="Q19" s="74">
        <v>45553</v>
      </c>
      <c r="S19" t="s">
        <v>320</v>
      </c>
      <c r="T19" t="s">
        <v>236</v>
      </c>
    </row>
    <row r="20" spans="1:20" ht="20.100000000000001" customHeight="1" x14ac:dyDescent="0.25">
      <c r="A20" t="s">
        <v>325</v>
      </c>
      <c r="B20" t="s">
        <v>378</v>
      </c>
      <c r="C20" t="s">
        <v>385</v>
      </c>
      <c r="D20" t="s">
        <v>8</v>
      </c>
      <c r="E20" t="s">
        <v>150</v>
      </c>
      <c r="F20" t="s">
        <v>153</v>
      </c>
      <c r="G20" t="s">
        <v>177</v>
      </c>
      <c r="H20">
        <v>80</v>
      </c>
      <c r="I20" t="s">
        <v>167</v>
      </c>
      <c r="J20" t="str">
        <f t="shared" si="9"/>
        <v>رمادى</v>
      </c>
      <c r="K20" t="s">
        <v>68</v>
      </c>
      <c r="L20" s="75">
        <v>7987</v>
      </c>
      <c r="M20" t="s">
        <v>16</v>
      </c>
      <c r="N20">
        <f>IF(OR(ISBLANK(store[[#This Row],[تاريخ التسليم]]),ISBLANK(store[[#This Row],[ميعاد الطلب]])),0,store[[#This Row],[تاريخ التسليم]]-store[[#This Row],[ميعاد الطلب]])</f>
        <v>15</v>
      </c>
      <c r="O20">
        <f>IF(OR(ISBLANK(store[[#This Row],[ميعاد التسليم]]),ISBLANK(store[[#This Row],[ميعاد الطلب]])),0,store[[#This Row],[ميعاد التسليم]]-store[[#This Row],[ميعاد الطلب]])</f>
        <v>10</v>
      </c>
      <c r="P20" s="74">
        <v>45541</v>
      </c>
      <c r="Q20" s="74">
        <v>45551</v>
      </c>
      <c r="R20" s="74">
        <v>45556</v>
      </c>
      <c r="S20" t="s">
        <v>199</v>
      </c>
      <c r="T20" t="s">
        <v>191</v>
      </c>
    </row>
    <row r="21" spans="1:20" ht="20.100000000000001" customHeight="1" x14ac:dyDescent="0.25">
      <c r="A21" t="s">
        <v>43</v>
      </c>
      <c r="B21" t="s">
        <v>379</v>
      </c>
      <c r="C21" t="s">
        <v>385</v>
      </c>
      <c r="D21" t="s">
        <v>43</v>
      </c>
      <c r="E21" t="s">
        <v>162</v>
      </c>
      <c r="F21" t="s">
        <v>163</v>
      </c>
      <c r="G21" t="str">
        <f t="shared" ref="G21:I21" si="10">G23</f>
        <v>فورجينا</v>
      </c>
      <c r="H21">
        <f t="shared" si="10"/>
        <v>80</v>
      </c>
      <c r="I21" t="str">
        <f t="shared" si="10"/>
        <v>ابيض</v>
      </c>
      <c r="J21" t="str">
        <f t="shared" si="9"/>
        <v>اسود</v>
      </c>
      <c r="K21" t="s">
        <v>64</v>
      </c>
      <c r="L21" s="75">
        <v>9300</v>
      </c>
      <c r="M21">
        <v>9300</v>
      </c>
      <c r="N21">
        <f>IF(OR(ISBLANK(store[[#This Row],[تاريخ التسليم]]),ISBLANK(store[[#This Row],[ميعاد الطلب]])),0,store[[#This Row],[تاريخ التسليم]]-store[[#This Row],[ميعاد الطلب]])</f>
        <v>13</v>
      </c>
      <c r="O21">
        <f>IF(OR(ISBLANK(store[[#This Row],[ميعاد التسليم]]),ISBLANK(store[[#This Row],[ميعاد الطلب]])),0,store[[#This Row],[ميعاد التسليم]]-store[[#This Row],[ميعاد الطلب]])</f>
        <v>11</v>
      </c>
      <c r="P21" s="74">
        <v>45539</v>
      </c>
      <c r="Q21" s="74">
        <v>45550</v>
      </c>
      <c r="R21" s="74">
        <v>45552</v>
      </c>
      <c r="S21" t="s">
        <v>199</v>
      </c>
      <c r="T21" t="s">
        <v>191</v>
      </c>
    </row>
    <row r="22" spans="1:20" ht="20.100000000000001" customHeight="1" x14ac:dyDescent="0.25">
      <c r="A22" t="s">
        <v>325</v>
      </c>
      <c r="B22" t="s">
        <v>378</v>
      </c>
      <c r="C22" t="s">
        <v>385</v>
      </c>
      <c r="D22" t="s">
        <v>8</v>
      </c>
      <c r="E22" t="s">
        <v>150</v>
      </c>
      <c r="F22" t="s">
        <v>153</v>
      </c>
      <c r="G22" t="s">
        <v>177</v>
      </c>
      <c r="H22">
        <v>80</v>
      </c>
      <c r="I22" t="s">
        <v>167</v>
      </c>
      <c r="J22" t="str">
        <f t="shared" si="9"/>
        <v>رمادى</v>
      </c>
      <c r="K22" t="s">
        <v>68</v>
      </c>
      <c r="L22" s="75">
        <v>7987</v>
      </c>
      <c r="M22" t="s">
        <v>16</v>
      </c>
      <c r="N22">
        <f>IF(OR(ISBLANK(store[[#This Row],[تاريخ التسليم]]),ISBLANK(store[[#This Row],[ميعاد الطلب]])),0,store[[#This Row],[تاريخ التسليم]]-store[[#This Row],[ميعاد الطلب]])</f>
        <v>15</v>
      </c>
      <c r="O22">
        <f>IF(OR(ISBLANK(store[[#This Row],[ميعاد التسليم]]),ISBLANK(store[[#This Row],[ميعاد الطلب]])),0,store[[#This Row],[ميعاد التسليم]]-store[[#This Row],[ميعاد الطلب]])</f>
        <v>10</v>
      </c>
      <c r="P22" s="74">
        <v>45541</v>
      </c>
      <c r="Q22" s="74">
        <v>45551</v>
      </c>
      <c r="R22" s="74">
        <v>45556</v>
      </c>
      <c r="S22" t="s">
        <v>199</v>
      </c>
      <c r="T22" t="s">
        <v>191</v>
      </c>
    </row>
    <row r="23" spans="1:20" ht="20.100000000000001" customHeight="1" x14ac:dyDescent="0.25">
      <c r="A23" t="s">
        <v>325</v>
      </c>
      <c r="B23" t="s">
        <v>378</v>
      </c>
      <c r="C23" t="s">
        <v>385</v>
      </c>
      <c r="D23" t="s">
        <v>8</v>
      </c>
      <c r="E23" t="s">
        <v>150</v>
      </c>
      <c r="F23" t="s">
        <v>153</v>
      </c>
      <c r="G23" t="s">
        <v>177</v>
      </c>
      <c r="H23">
        <v>80</v>
      </c>
      <c r="I23" t="s">
        <v>167</v>
      </c>
      <c r="J23" t="str">
        <f t="shared" si="9"/>
        <v>اسود</v>
      </c>
      <c r="K23" t="s">
        <v>68</v>
      </c>
      <c r="L23" s="75">
        <v>7987</v>
      </c>
      <c r="M23" t="s">
        <v>16</v>
      </c>
      <c r="N23">
        <f>IF(OR(ISBLANK(store[[#This Row],[تاريخ التسليم]]),ISBLANK(store[[#This Row],[ميعاد الطلب]])),0,store[[#This Row],[تاريخ التسليم]]-store[[#This Row],[ميعاد الطلب]])</f>
        <v>15</v>
      </c>
      <c r="O23">
        <f>IF(OR(ISBLANK(store[[#This Row],[ميعاد التسليم]]),ISBLANK(store[[#This Row],[ميعاد الطلب]])),0,store[[#This Row],[ميعاد التسليم]]-store[[#This Row],[ميعاد الطلب]])</f>
        <v>10</v>
      </c>
      <c r="P23" s="74">
        <v>45541</v>
      </c>
      <c r="Q23" s="74">
        <v>45551</v>
      </c>
      <c r="R23" s="74">
        <v>45556</v>
      </c>
      <c r="S23" t="s">
        <v>199</v>
      </c>
      <c r="T23" t="s">
        <v>191</v>
      </c>
    </row>
    <row r="24" spans="1:20" ht="20.100000000000001" customHeight="1" x14ac:dyDescent="0.25">
      <c r="A24" t="s">
        <v>325</v>
      </c>
      <c r="B24" t="s">
        <v>378</v>
      </c>
      <c r="C24" t="s">
        <v>385</v>
      </c>
      <c r="D24" t="s">
        <v>8</v>
      </c>
      <c r="E24" t="s">
        <v>150</v>
      </c>
      <c r="F24" t="s">
        <v>153</v>
      </c>
      <c r="G24" t="s">
        <v>177</v>
      </c>
      <c r="H24">
        <v>80</v>
      </c>
      <c r="I24" t="s">
        <v>167</v>
      </c>
      <c r="J24" t="str">
        <f t="shared" si="9"/>
        <v>رمادى</v>
      </c>
      <c r="K24" t="s">
        <v>68</v>
      </c>
      <c r="L24" s="75">
        <v>7987</v>
      </c>
      <c r="M24" t="s">
        <v>16</v>
      </c>
      <c r="N24">
        <f>IF(OR(ISBLANK(store[[#This Row],[تاريخ التسليم]]),ISBLANK(store[[#This Row],[ميعاد الطلب]])),0,store[[#This Row],[تاريخ التسليم]]-store[[#This Row],[ميعاد الطلب]])</f>
        <v>15</v>
      </c>
      <c r="O24">
        <f>IF(OR(ISBLANK(store[[#This Row],[ميعاد التسليم]]),ISBLANK(store[[#This Row],[ميعاد الطلب]])),0,store[[#This Row],[ميعاد التسليم]]-store[[#This Row],[ميعاد الطلب]])</f>
        <v>10</v>
      </c>
      <c r="P24" s="74">
        <v>45541</v>
      </c>
      <c r="Q24" s="74">
        <v>45551</v>
      </c>
      <c r="R24" s="74">
        <v>45556</v>
      </c>
      <c r="S24" t="s">
        <v>199</v>
      </c>
      <c r="T24" t="s">
        <v>191</v>
      </c>
    </row>
    <row r="25" spans="1:20" ht="20.100000000000001" customHeight="1" x14ac:dyDescent="0.25">
      <c r="A25" t="s">
        <v>106</v>
      </c>
      <c r="B25" t="s">
        <v>378</v>
      </c>
      <c r="C25" t="s">
        <v>385</v>
      </c>
      <c r="D25" t="s">
        <v>8</v>
      </c>
      <c r="E25" t="s">
        <v>292</v>
      </c>
      <c r="F25" t="s">
        <v>187</v>
      </c>
      <c r="G25" t="str">
        <f t="shared" ref="G25:I25" si="11">G27</f>
        <v>كينج</v>
      </c>
      <c r="H25">
        <f t="shared" si="11"/>
        <v>100</v>
      </c>
      <c r="I25" t="str">
        <f t="shared" si="11"/>
        <v>ابيض</v>
      </c>
      <c r="J25" t="str">
        <f t="shared" si="9"/>
        <v>اسود</v>
      </c>
      <c r="K25" t="s">
        <v>63</v>
      </c>
      <c r="L25" s="75">
        <v>8849</v>
      </c>
      <c r="M25" t="s">
        <v>16</v>
      </c>
      <c r="N25">
        <f>IF(OR(ISBLANK(store[[#This Row],[تاريخ التسليم]]),ISBLANK(store[[#This Row],[ميعاد الطلب]])),0,store[[#This Row],[تاريخ التسليم]]-store[[#This Row],[ميعاد الطلب]])</f>
        <v>0</v>
      </c>
      <c r="O25">
        <f>IF(OR(ISBLANK(store[[#This Row],[ميعاد التسليم]]),ISBLANK(store[[#This Row],[ميعاد الطلب]])),0,store[[#This Row],[ميعاد التسليم]]-store[[#This Row],[ميعاد الطلب]])</f>
        <v>43</v>
      </c>
      <c r="P25" s="74">
        <v>45538</v>
      </c>
      <c r="Q25" s="74">
        <v>45581</v>
      </c>
      <c r="S25" t="s">
        <v>320</v>
      </c>
      <c r="T25" t="s">
        <v>236</v>
      </c>
    </row>
    <row r="26" spans="1:20" ht="20.100000000000001" customHeight="1" x14ac:dyDescent="0.25">
      <c r="A26" t="s">
        <v>69</v>
      </c>
      <c r="B26" t="s">
        <v>378</v>
      </c>
      <c r="C26" t="s">
        <v>384</v>
      </c>
      <c r="D26" t="s">
        <v>8</v>
      </c>
      <c r="E26" t="s">
        <v>150</v>
      </c>
      <c r="F26" t="s">
        <v>153</v>
      </c>
      <c r="G26" t="s">
        <v>156</v>
      </c>
      <c r="H26">
        <v>120</v>
      </c>
      <c r="I26" t="s">
        <v>167</v>
      </c>
      <c r="J26" t="str">
        <f t="shared" si="9"/>
        <v>رمادى</v>
      </c>
      <c r="K26" t="s">
        <v>70</v>
      </c>
      <c r="L26" s="75">
        <v>10987</v>
      </c>
      <c r="M26" t="s">
        <v>16</v>
      </c>
      <c r="N26">
        <f>IF(OR(ISBLANK(store[[#This Row],[تاريخ التسليم]]),ISBLANK(store[[#This Row],[ميعاد الطلب]])),0,store[[#This Row],[تاريخ التسليم]]-store[[#This Row],[ميعاد الطلب]])</f>
        <v>12</v>
      </c>
      <c r="O26">
        <f>IF(OR(ISBLANK(store[[#This Row],[ميعاد التسليم]]),ISBLANK(store[[#This Row],[ميعاد الطلب]])),0,store[[#This Row],[ميعاد التسليم]]-store[[#This Row],[ميعاد الطلب]])</f>
        <v>8</v>
      </c>
      <c r="P26" s="74">
        <v>45544</v>
      </c>
      <c r="Q26" s="74">
        <v>45552</v>
      </c>
      <c r="R26" s="74">
        <v>45556</v>
      </c>
      <c r="S26" t="s">
        <v>199</v>
      </c>
      <c r="T26" t="s">
        <v>191</v>
      </c>
    </row>
    <row r="27" spans="1:20" ht="20.100000000000001" customHeight="1" x14ac:dyDescent="0.25">
      <c r="A27" t="s">
        <v>52</v>
      </c>
      <c r="B27" t="s">
        <v>379</v>
      </c>
      <c r="C27" t="s">
        <v>384</v>
      </c>
      <c r="D27" t="s">
        <v>52</v>
      </c>
      <c r="E27" t="s">
        <v>150</v>
      </c>
      <c r="F27" t="s">
        <v>165</v>
      </c>
      <c r="G27" t="s">
        <v>154</v>
      </c>
      <c r="H27">
        <v>100</v>
      </c>
      <c r="I27" t="s">
        <v>167</v>
      </c>
      <c r="J27" t="str">
        <f t="shared" si="9"/>
        <v>اسود</v>
      </c>
      <c r="K27" t="s">
        <v>51</v>
      </c>
      <c r="L27" s="75">
        <v>9208</v>
      </c>
      <c r="M27" s="75">
        <v>5781.75</v>
      </c>
      <c r="N27" s="75">
        <f>IF(OR(ISBLANK(store[[#This Row],[تاريخ التسليم]]),ISBLANK(store[[#This Row],[ميعاد الطلب]])),0,store[[#This Row],[تاريخ التسليم]]-store[[#This Row],[ميعاد الطلب]])</f>
        <v>20</v>
      </c>
      <c r="O27" s="75">
        <f>IF(OR(ISBLANK(store[[#This Row],[ميعاد التسليم]]),ISBLANK(store[[#This Row],[ميعاد الطلب]])),0,store[[#This Row],[ميعاد التسليم]]-store[[#This Row],[ميعاد الطلب]])</f>
        <v>18</v>
      </c>
      <c r="P27" s="74">
        <v>45536</v>
      </c>
      <c r="Q27" s="74">
        <v>45554</v>
      </c>
      <c r="R27" s="74">
        <v>45556</v>
      </c>
      <c r="S27" t="s">
        <v>199</v>
      </c>
      <c r="T27" t="s">
        <v>191</v>
      </c>
    </row>
    <row r="28" spans="1:20" ht="20.100000000000001" customHeight="1" x14ac:dyDescent="0.25">
      <c r="A28" t="s">
        <v>52</v>
      </c>
      <c r="B28" t="s">
        <v>379</v>
      </c>
      <c r="C28" t="s">
        <v>384</v>
      </c>
      <c r="D28" t="s">
        <v>52</v>
      </c>
      <c r="E28" t="s">
        <v>150</v>
      </c>
      <c r="F28" t="s">
        <v>165</v>
      </c>
      <c r="G28" t="s">
        <v>154</v>
      </c>
      <c r="H28">
        <v>100</v>
      </c>
      <c r="I28" t="s">
        <v>168</v>
      </c>
      <c r="J28" t="str">
        <f t="shared" si="9"/>
        <v>رمادى</v>
      </c>
      <c r="K28" t="s">
        <v>53</v>
      </c>
      <c r="L28" s="75">
        <v>9208</v>
      </c>
      <c r="M28" s="75">
        <v>1278.53</v>
      </c>
      <c r="N28" s="75">
        <f>IF(OR(ISBLANK(store[[#This Row],[تاريخ التسليم]]),ISBLANK(store[[#This Row],[ميعاد الطلب]])),0,store[[#This Row],[تاريخ التسليم]]-store[[#This Row],[ميعاد الطلب]])</f>
        <v>20</v>
      </c>
      <c r="O28" s="75">
        <f>IF(OR(ISBLANK(store[[#This Row],[ميعاد التسليم]]),ISBLANK(store[[#This Row],[ميعاد الطلب]])),0,store[[#This Row],[ميعاد التسليم]]-store[[#This Row],[ميعاد الطلب]])</f>
        <v>18</v>
      </c>
      <c r="P28" s="74">
        <v>45536</v>
      </c>
      <c r="Q28" s="74">
        <v>45554</v>
      </c>
      <c r="R28" s="74">
        <v>45556</v>
      </c>
      <c r="S28" t="s">
        <v>199</v>
      </c>
      <c r="T28" t="s">
        <v>191</v>
      </c>
    </row>
    <row r="29" spans="1:20" ht="20.100000000000001" customHeight="1" x14ac:dyDescent="0.25">
      <c r="A29" t="s">
        <v>83</v>
      </c>
      <c r="B29" t="s">
        <v>379</v>
      </c>
      <c r="C29" t="s">
        <v>389</v>
      </c>
      <c r="D29" t="s">
        <v>392</v>
      </c>
      <c r="E29" t="s">
        <v>150</v>
      </c>
      <c r="F29" t="s">
        <v>153</v>
      </c>
      <c r="G29" t="s">
        <v>177</v>
      </c>
      <c r="H29">
        <v>120</v>
      </c>
      <c r="I29" t="s">
        <v>167</v>
      </c>
      <c r="J29" t="str">
        <f t="shared" si="9"/>
        <v>اسود</v>
      </c>
      <c r="K29" t="s">
        <v>87</v>
      </c>
      <c r="L29" s="75">
        <v>4020</v>
      </c>
      <c r="M29" t="s">
        <v>85</v>
      </c>
      <c r="N29">
        <f>IF(OR(ISBLANK(store[[#This Row],[تاريخ التسليم]]),ISBLANK(store[[#This Row],[ميعاد الطلب]])),0,store[[#This Row],[تاريخ التسليم]]-store[[#This Row],[ميعاد الطلب]])</f>
        <v>10</v>
      </c>
      <c r="O29">
        <f>IF(OR(ISBLANK(store[[#This Row],[ميعاد التسليم]]),ISBLANK(store[[#This Row],[ميعاد الطلب]])),0,store[[#This Row],[ميعاد التسليم]]-store[[#This Row],[ميعاد الطلب]])</f>
        <v>9</v>
      </c>
      <c r="P29" s="74">
        <v>45547</v>
      </c>
      <c r="Q29" s="74">
        <v>45556</v>
      </c>
      <c r="R29" s="74">
        <v>45557</v>
      </c>
      <c r="S29" t="s">
        <v>199</v>
      </c>
      <c r="T29" t="s">
        <v>191</v>
      </c>
    </row>
    <row r="30" spans="1:20" ht="20.100000000000001" customHeight="1" x14ac:dyDescent="0.25">
      <c r="A30" t="s">
        <v>83</v>
      </c>
      <c r="B30" t="s">
        <v>379</v>
      </c>
      <c r="C30" t="s">
        <v>389</v>
      </c>
      <c r="D30" t="s">
        <v>392</v>
      </c>
      <c r="E30" t="s">
        <v>150</v>
      </c>
      <c r="F30" t="s">
        <v>153</v>
      </c>
      <c r="G30" t="s">
        <v>177</v>
      </c>
      <c r="H30">
        <v>120</v>
      </c>
      <c r="I30" t="s">
        <v>167</v>
      </c>
      <c r="J30" t="str">
        <f t="shared" si="9"/>
        <v>رمادى</v>
      </c>
      <c r="K30" t="s">
        <v>87</v>
      </c>
      <c r="L30" s="75">
        <v>4020</v>
      </c>
      <c r="M30" t="s">
        <v>85</v>
      </c>
      <c r="N30">
        <f>IF(OR(ISBLANK(store[[#This Row],[تاريخ التسليم]]),ISBLANK(store[[#This Row],[ميعاد الطلب]])),0,store[[#This Row],[تاريخ التسليم]]-store[[#This Row],[ميعاد الطلب]])</f>
        <v>10</v>
      </c>
      <c r="O30">
        <f>IF(OR(ISBLANK(store[[#This Row],[ميعاد التسليم]]),ISBLANK(store[[#This Row],[ميعاد الطلب]])),0,store[[#This Row],[ميعاد التسليم]]-store[[#This Row],[ميعاد الطلب]])</f>
        <v>9</v>
      </c>
      <c r="P30" s="74">
        <v>45547</v>
      </c>
      <c r="Q30" s="74">
        <v>45556</v>
      </c>
      <c r="R30" s="74">
        <v>45557</v>
      </c>
      <c r="S30" t="s">
        <v>199</v>
      </c>
      <c r="T30" t="s">
        <v>191</v>
      </c>
    </row>
    <row r="31" spans="1:20" ht="20.100000000000001" customHeight="1" x14ac:dyDescent="0.25">
      <c r="A31" t="s">
        <v>83</v>
      </c>
      <c r="B31" t="s">
        <v>379</v>
      </c>
      <c r="C31" t="s">
        <v>389</v>
      </c>
      <c r="D31" t="s">
        <v>392</v>
      </c>
      <c r="E31" t="s">
        <v>150</v>
      </c>
      <c r="F31" t="s">
        <v>153</v>
      </c>
      <c r="G31" t="s">
        <v>169</v>
      </c>
      <c r="H31">
        <v>120</v>
      </c>
      <c r="I31" t="s">
        <v>168</v>
      </c>
      <c r="J31" t="str">
        <f t="shared" si="9"/>
        <v>اسود</v>
      </c>
      <c r="K31" t="s">
        <v>86</v>
      </c>
      <c r="L31" s="75">
        <v>4020</v>
      </c>
      <c r="M31" t="s">
        <v>115</v>
      </c>
      <c r="N31">
        <f>IF(OR(ISBLANK(store[[#This Row],[تاريخ التسليم]]),ISBLANK(store[[#This Row],[ميعاد الطلب]])),0,store[[#This Row],[تاريخ التسليم]]-store[[#This Row],[ميعاد الطلب]])</f>
        <v>10</v>
      </c>
      <c r="O31">
        <f>IF(OR(ISBLANK(store[[#This Row],[ميعاد التسليم]]),ISBLANK(store[[#This Row],[ميعاد الطلب]])),0,store[[#This Row],[ميعاد التسليم]]-store[[#This Row],[ميعاد الطلب]])</f>
        <v>9</v>
      </c>
      <c r="P31" s="74">
        <v>45547</v>
      </c>
      <c r="Q31" s="74">
        <v>45556</v>
      </c>
      <c r="R31" s="74">
        <v>45557</v>
      </c>
      <c r="S31" t="s">
        <v>199</v>
      </c>
      <c r="T31" t="s">
        <v>191</v>
      </c>
    </row>
    <row r="32" spans="1:20" ht="20.100000000000001" customHeight="1" x14ac:dyDescent="0.25">
      <c r="A32" t="s">
        <v>83</v>
      </c>
      <c r="B32" t="s">
        <v>379</v>
      </c>
      <c r="C32" t="s">
        <v>389</v>
      </c>
      <c r="D32" t="s">
        <v>392</v>
      </c>
      <c r="E32" t="s">
        <v>150</v>
      </c>
      <c r="F32" t="s">
        <v>153</v>
      </c>
      <c r="G32" t="s">
        <v>169</v>
      </c>
      <c r="H32">
        <v>120</v>
      </c>
      <c r="I32" t="s">
        <v>168</v>
      </c>
      <c r="J32" t="str">
        <f t="shared" si="9"/>
        <v>رمادى</v>
      </c>
      <c r="K32" t="s">
        <v>86</v>
      </c>
      <c r="L32" s="75">
        <v>4020</v>
      </c>
      <c r="M32" t="s">
        <v>115</v>
      </c>
      <c r="N32">
        <f>IF(OR(ISBLANK(store[[#This Row],[تاريخ التسليم]]),ISBLANK(store[[#This Row],[ميعاد الطلب]])),0,store[[#This Row],[تاريخ التسليم]]-store[[#This Row],[ميعاد الطلب]])</f>
        <v>10</v>
      </c>
      <c r="O32">
        <f>IF(OR(ISBLANK(store[[#This Row],[ميعاد التسليم]]),ISBLANK(store[[#This Row],[ميعاد الطلب]])),0,store[[#This Row],[ميعاد التسليم]]-store[[#This Row],[ميعاد الطلب]])</f>
        <v>9</v>
      </c>
      <c r="P32" s="74">
        <v>45547</v>
      </c>
      <c r="Q32" s="74">
        <v>45556</v>
      </c>
      <c r="R32" s="74">
        <v>45557</v>
      </c>
      <c r="S32" t="s">
        <v>199</v>
      </c>
      <c r="T32" t="s">
        <v>191</v>
      </c>
    </row>
    <row r="33" spans="1:20" ht="20.100000000000001" customHeight="1" x14ac:dyDescent="0.25">
      <c r="A33" t="s">
        <v>143</v>
      </c>
      <c r="B33" t="s">
        <v>378</v>
      </c>
      <c r="C33" t="s">
        <v>387</v>
      </c>
      <c r="D33" t="s">
        <v>8</v>
      </c>
      <c r="E33" t="s">
        <v>150</v>
      </c>
      <c r="F33" t="s">
        <v>151</v>
      </c>
      <c r="G33" t="str">
        <f t="shared" ref="G33:H33" si="12">G35</f>
        <v>كيفنج</v>
      </c>
      <c r="H33">
        <f t="shared" si="12"/>
        <v>100</v>
      </c>
      <c r="I33" t="s">
        <v>168</v>
      </c>
      <c r="J33" t="s">
        <v>168</v>
      </c>
      <c r="K33" t="s">
        <v>145</v>
      </c>
      <c r="L33" s="75">
        <v>9399</v>
      </c>
      <c r="M33" t="s">
        <v>115</v>
      </c>
      <c r="N33">
        <f>IF(OR(ISBLANK(store[[#This Row],[تاريخ التسليم]]),ISBLANK(store[[#This Row],[ميعاد الطلب]])),0,store[[#This Row],[تاريخ التسليم]]-store[[#This Row],[ميعاد الطلب]])</f>
        <v>0</v>
      </c>
      <c r="O33">
        <f>IF(OR(ISBLANK(store[[#This Row],[ميعاد التسليم]]),ISBLANK(store[[#This Row],[ميعاد الطلب]])),0,store[[#This Row],[ميعاد التسليم]]-store[[#This Row],[ميعاد الطلب]])</f>
        <v>8</v>
      </c>
      <c r="P33" s="74">
        <f t="shared" ref="P33" si="13">DATE(2024,9,14)</f>
        <v>45549</v>
      </c>
      <c r="Q33" s="74">
        <v>45557</v>
      </c>
      <c r="S33" t="s">
        <v>37</v>
      </c>
      <c r="T33" t="s">
        <v>192</v>
      </c>
    </row>
    <row r="34" spans="1:20" ht="20.100000000000001" customHeight="1" x14ac:dyDescent="0.25">
      <c r="A34" t="s">
        <v>147</v>
      </c>
      <c r="B34" t="s">
        <v>378</v>
      </c>
      <c r="C34" t="s">
        <v>386</v>
      </c>
      <c r="D34" t="s">
        <v>8</v>
      </c>
      <c r="E34" t="s">
        <v>292</v>
      </c>
      <c r="F34" t="s">
        <v>189</v>
      </c>
      <c r="G34" t="str">
        <f t="shared" ref="G34:J34" si="14">G36</f>
        <v>اسبانى</v>
      </c>
      <c r="H34">
        <f t="shared" si="14"/>
        <v>120</v>
      </c>
      <c r="I34" t="str">
        <f t="shared" si="14"/>
        <v>اسود</v>
      </c>
      <c r="J34" t="str">
        <f t="shared" si="14"/>
        <v>رمادى</v>
      </c>
      <c r="K34" t="s">
        <v>149</v>
      </c>
      <c r="L34" s="75">
        <v>8349</v>
      </c>
      <c r="M34" t="s">
        <v>115</v>
      </c>
      <c r="N34">
        <f>IF(OR(ISBLANK(store[[#This Row],[تاريخ التسليم]]),ISBLANK(store[[#This Row],[ميعاد الطلب]])),0,store[[#This Row],[تاريخ التسليم]]-store[[#This Row],[ميعاد الطلب]])</f>
        <v>10</v>
      </c>
      <c r="O34">
        <f>IF(OR(ISBLANK(store[[#This Row],[ميعاد التسليم]]),ISBLANK(store[[#This Row],[ميعاد الطلب]])),0,store[[#This Row],[ميعاد التسليم]]-store[[#This Row],[ميعاد الطلب]])</f>
        <v>8</v>
      </c>
      <c r="P34" s="74">
        <v>45549</v>
      </c>
      <c r="Q34" s="74">
        <v>45557</v>
      </c>
      <c r="R34" s="74">
        <v>45559</v>
      </c>
      <c r="S34" t="s">
        <v>28</v>
      </c>
      <c r="T34" t="s">
        <v>191</v>
      </c>
    </row>
    <row r="35" spans="1:20" ht="20.100000000000001" customHeight="1" x14ac:dyDescent="0.25">
      <c r="A35" t="s">
        <v>330</v>
      </c>
      <c r="B35" t="s">
        <v>378</v>
      </c>
      <c r="C35" t="s">
        <v>384</v>
      </c>
      <c r="D35" t="s">
        <v>8</v>
      </c>
      <c r="E35" t="s">
        <v>150</v>
      </c>
      <c r="F35" t="s">
        <v>151</v>
      </c>
      <c r="G35" t="str">
        <f t="shared" ref="G35:H35" si="15">G37</f>
        <v>كيفنج</v>
      </c>
      <c r="H35">
        <f t="shared" si="15"/>
        <v>100</v>
      </c>
      <c r="I35" t="s">
        <v>168</v>
      </c>
      <c r="J35" t="s">
        <v>168</v>
      </c>
      <c r="K35" t="s">
        <v>105</v>
      </c>
      <c r="L35" s="75">
        <v>9399</v>
      </c>
      <c r="M35" t="s">
        <v>16</v>
      </c>
      <c r="N35">
        <f>IF(OR(ISBLANK(store[[#This Row],[تاريخ التسليم]]),ISBLANK(store[[#This Row],[ميعاد الطلب]])),0,store[[#This Row],[تاريخ التسليم]]-store[[#This Row],[ميعاد الطلب]])</f>
        <v>17</v>
      </c>
      <c r="O35">
        <f>IF(OR(ISBLANK(store[[#This Row],[ميعاد التسليم]]),ISBLANK(store[[#This Row],[ميعاد الطلب]])),0,store[[#This Row],[ميعاد التسليم]]-store[[#This Row],[ميعاد الطلب]])</f>
        <v>11</v>
      </c>
      <c r="P35" s="74">
        <v>45548</v>
      </c>
      <c r="Q35" s="74">
        <v>45559</v>
      </c>
      <c r="R35" s="74">
        <f t="shared" ref="R35" si="16">DATE(2024,9,30)</f>
        <v>45565</v>
      </c>
      <c r="S35" t="s">
        <v>28</v>
      </c>
      <c r="T35" t="s">
        <v>191</v>
      </c>
    </row>
    <row r="36" spans="1:20" ht="20.100000000000001" customHeight="1" x14ac:dyDescent="0.25">
      <c r="A36" t="s">
        <v>331</v>
      </c>
      <c r="B36" t="s">
        <v>378</v>
      </c>
      <c r="C36" t="s">
        <v>385</v>
      </c>
      <c r="D36" t="s">
        <v>8</v>
      </c>
      <c r="E36" t="s">
        <v>292</v>
      </c>
      <c r="F36" t="s">
        <v>187</v>
      </c>
      <c r="G36" t="str">
        <f t="shared" ref="G36:I36" si="17">G38</f>
        <v>اسبانى</v>
      </c>
      <c r="H36">
        <f t="shared" si="17"/>
        <v>120</v>
      </c>
      <c r="I36" t="str">
        <f t="shared" si="17"/>
        <v>اسود</v>
      </c>
      <c r="J36" t="str">
        <f t="shared" ref="J36:J38" si="18">J38</f>
        <v>رمادى</v>
      </c>
      <c r="K36" t="s">
        <v>63</v>
      </c>
      <c r="L36" s="75">
        <v>7849</v>
      </c>
      <c r="M36">
        <v>7928</v>
      </c>
      <c r="N36">
        <f>IF(OR(ISBLANK(store[[#This Row],[تاريخ التسليم]]),ISBLANK(store[[#This Row],[ميعاد الطلب]])),0,store[[#This Row],[تاريخ التسليم]]-store[[#This Row],[ميعاد الطلب]])</f>
        <v>0</v>
      </c>
      <c r="O36">
        <f>IF(OR(ISBLANK(store[[#This Row],[ميعاد التسليم]]),ISBLANK(store[[#This Row],[ميعاد الطلب]])),0,store[[#This Row],[ميعاد التسليم]]-store[[#This Row],[ميعاد الطلب]])</f>
        <v>14</v>
      </c>
      <c r="P36" s="74">
        <v>45547</v>
      </c>
      <c r="Q36" s="74">
        <v>45561</v>
      </c>
      <c r="S36" t="s">
        <v>28</v>
      </c>
      <c r="T36" t="s">
        <v>191</v>
      </c>
    </row>
    <row r="37" spans="1:20" ht="20.100000000000001" customHeight="1" x14ac:dyDescent="0.25">
      <c r="A37" t="s">
        <v>79</v>
      </c>
      <c r="B37" t="s">
        <v>378</v>
      </c>
      <c r="C37" t="s">
        <v>384</v>
      </c>
      <c r="D37" t="s">
        <v>35</v>
      </c>
      <c r="E37" t="s">
        <v>150</v>
      </c>
      <c r="F37" t="s">
        <v>171</v>
      </c>
      <c r="G37" t="s">
        <v>155</v>
      </c>
      <c r="H37">
        <v>100</v>
      </c>
      <c r="I37" t="s">
        <v>168</v>
      </c>
      <c r="J37" t="str">
        <f t="shared" si="18"/>
        <v>رمادى</v>
      </c>
      <c r="K37" t="s">
        <v>82</v>
      </c>
      <c r="L37" s="75">
        <v>9450</v>
      </c>
      <c r="M37">
        <v>9450</v>
      </c>
      <c r="N37">
        <f>IF(OR(ISBLANK(store[[#This Row],[تاريخ التسليم]]),ISBLANK(store[[#This Row],[ميعاد الطلب]])),0,store[[#This Row],[تاريخ التسليم]]-store[[#This Row],[ميعاد الطلب]])</f>
        <v>0</v>
      </c>
      <c r="O37">
        <f>IF(OR(ISBLANK(store[[#This Row],[ميعاد التسليم]]),ISBLANK(store[[#This Row],[ميعاد الطلب]])),0,store[[#This Row],[ميعاد التسليم]]-store[[#This Row],[ميعاد الطلب]])</f>
        <v>14</v>
      </c>
      <c r="P37" s="74">
        <v>45547</v>
      </c>
      <c r="Q37" s="74">
        <v>45561</v>
      </c>
      <c r="S37" t="s">
        <v>320</v>
      </c>
      <c r="T37" t="s">
        <v>236</v>
      </c>
    </row>
    <row r="38" spans="1:20" ht="20.100000000000001" customHeight="1" x14ac:dyDescent="0.25">
      <c r="A38" t="s">
        <v>332</v>
      </c>
      <c r="B38" t="s">
        <v>378</v>
      </c>
      <c r="C38" t="s">
        <v>385</v>
      </c>
      <c r="D38" t="s">
        <v>8</v>
      </c>
      <c r="E38" t="s">
        <v>150</v>
      </c>
      <c r="F38" t="s">
        <v>153</v>
      </c>
      <c r="G38" t="s">
        <v>156</v>
      </c>
      <c r="H38">
        <v>120</v>
      </c>
      <c r="I38" t="s">
        <v>168</v>
      </c>
      <c r="J38" t="str">
        <f t="shared" si="18"/>
        <v>رمادى</v>
      </c>
      <c r="K38" t="s">
        <v>96</v>
      </c>
      <c r="L38" s="75">
        <v>7460</v>
      </c>
      <c r="M38" t="s">
        <v>16</v>
      </c>
      <c r="N38">
        <f>IF(OR(ISBLANK(store[[#This Row],[تاريخ التسليم]]),ISBLANK(store[[#This Row],[ميعاد الطلب]])),0,store[[#This Row],[تاريخ التسليم]]-store[[#This Row],[ميعاد الطلب]])</f>
        <v>20</v>
      </c>
      <c r="O38">
        <f>IF(OR(ISBLANK(store[[#This Row],[ميعاد التسليم]]),ISBLANK(store[[#This Row],[ميعاد الطلب]])),0,store[[#This Row],[ميعاد التسليم]]-store[[#This Row],[ميعاد الطلب]])</f>
        <v>13</v>
      </c>
      <c r="P38" s="74">
        <v>45548</v>
      </c>
      <c r="Q38" s="74">
        <v>45561</v>
      </c>
      <c r="R38" s="74">
        <v>45568</v>
      </c>
      <c r="S38" t="s">
        <v>199</v>
      </c>
      <c r="T38" t="s">
        <v>191</v>
      </c>
    </row>
    <row r="39" spans="1:20" ht="20.100000000000001" customHeight="1" x14ac:dyDescent="0.25">
      <c r="A39" t="s">
        <v>99</v>
      </c>
      <c r="B39" t="s">
        <v>378</v>
      </c>
      <c r="C39" t="s">
        <v>385</v>
      </c>
      <c r="D39" t="s">
        <v>8</v>
      </c>
      <c r="E39" t="s">
        <v>150</v>
      </c>
      <c r="F39" t="s">
        <v>153</v>
      </c>
      <c r="G39" t="s">
        <v>178</v>
      </c>
      <c r="H39">
        <v>140</v>
      </c>
      <c r="I39" t="s">
        <v>176</v>
      </c>
      <c r="J39" t="s">
        <v>172</v>
      </c>
      <c r="K39" t="s">
        <v>100</v>
      </c>
      <c r="L39" s="75">
        <v>9528</v>
      </c>
      <c r="M39" t="s">
        <v>16</v>
      </c>
      <c r="N39">
        <f>IF(OR(ISBLANK(store[[#This Row],[تاريخ التسليم]]),ISBLANK(store[[#This Row],[ميعاد الطلب]])),0,store[[#This Row],[تاريخ التسليم]]-store[[#This Row],[ميعاد الطلب]])</f>
        <v>20</v>
      </c>
      <c r="O39">
        <f>IF(OR(ISBLANK(store[[#This Row],[ميعاد التسليم]]),ISBLANK(store[[#This Row],[ميعاد الطلب]])),0,store[[#This Row],[ميعاد التسليم]]-store[[#This Row],[ميعاد الطلب]])</f>
        <v>13</v>
      </c>
      <c r="P39" s="74">
        <v>45548</v>
      </c>
      <c r="Q39" s="74">
        <v>45561</v>
      </c>
      <c r="R39" s="74">
        <v>45568</v>
      </c>
      <c r="S39" t="s">
        <v>199</v>
      </c>
      <c r="T39" t="s">
        <v>191</v>
      </c>
    </row>
    <row r="40" spans="1:20" ht="20.100000000000001" customHeight="1" x14ac:dyDescent="0.25">
      <c r="A40" t="s">
        <v>333</v>
      </c>
      <c r="B40" t="s">
        <v>378</v>
      </c>
      <c r="C40" t="s">
        <v>384</v>
      </c>
      <c r="D40" t="s">
        <v>8</v>
      </c>
      <c r="E40" t="s">
        <v>150</v>
      </c>
      <c r="F40" t="s">
        <v>165</v>
      </c>
      <c r="G40" t="s">
        <v>155</v>
      </c>
      <c r="H40">
        <v>120</v>
      </c>
      <c r="I40" t="s">
        <v>172</v>
      </c>
      <c r="J40" t="str">
        <f>J42</f>
        <v>رمادى</v>
      </c>
      <c r="K40" t="s">
        <v>142</v>
      </c>
      <c r="L40" s="75">
        <v>12999</v>
      </c>
      <c r="M40" t="s">
        <v>16</v>
      </c>
      <c r="N40">
        <f>IF(OR(ISBLANK(store[[#This Row],[تاريخ التسليم]]),ISBLANK(store[[#This Row],[ميعاد الطلب]])),0,store[[#This Row],[تاريخ التسليم]]-store[[#This Row],[ميعاد الطلب]])</f>
        <v>18</v>
      </c>
      <c r="O40">
        <f>IF(OR(ISBLANK(store[[#This Row],[ميعاد التسليم]]),ISBLANK(store[[#This Row],[ميعاد الطلب]])),0,store[[#This Row],[ميعاد التسليم]]-store[[#This Row],[ميعاد الطلب]])</f>
        <v>13</v>
      </c>
      <c r="P40" s="74">
        <v>45549</v>
      </c>
      <c r="Q40" s="74">
        <v>45562</v>
      </c>
      <c r="R40" s="74">
        <v>45567</v>
      </c>
      <c r="S40" t="s">
        <v>199</v>
      </c>
      <c r="T40" t="s">
        <v>191</v>
      </c>
    </row>
    <row r="41" spans="1:20" ht="20.100000000000001" customHeight="1" x14ac:dyDescent="0.25">
      <c r="A41" t="s">
        <v>334</v>
      </c>
      <c r="B41" t="s">
        <v>378</v>
      </c>
      <c r="C41" t="s">
        <v>385</v>
      </c>
      <c r="D41" t="s">
        <v>8</v>
      </c>
      <c r="E41" t="s">
        <v>150</v>
      </c>
      <c r="F41" t="s">
        <v>165</v>
      </c>
      <c r="G41" t="s">
        <v>152</v>
      </c>
      <c r="H41">
        <v>90</v>
      </c>
      <c r="I41" t="s">
        <v>168</v>
      </c>
      <c r="J41" t="s">
        <v>168</v>
      </c>
      <c r="K41" t="s">
        <v>77</v>
      </c>
      <c r="L41" s="75">
        <v>5999</v>
      </c>
      <c r="M41" t="s">
        <v>16</v>
      </c>
      <c r="N41">
        <f>IF(OR(ISBLANK(store[[#This Row],[تاريخ التسليم]]),ISBLANK(store[[#This Row],[ميعاد الطلب]])),0,store[[#This Row],[تاريخ التسليم]]-store[[#This Row],[ميعاد الطلب]])</f>
        <v>0</v>
      </c>
      <c r="O41">
        <f>IF(OR(ISBLANK(store[[#This Row],[ميعاد التسليم]]),ISBLANK(store[[#This Row],[ميعاد الطلب]])),0,store[[#This Row],[ميعاد التسليم]]-store[[#This Row],[ميعاد الطلب]])</f>
        <v>17</v>
      </c>
      <c r="P41" s="74">
        <v>45547</v>
      </c>
      <c r="Q41" s="74">
        <v>45564</v>
      </c>
      <c r="S41" t="s">
        <v>320</v>
      </c>
      <c r="T41" t="s">
        <v>236</v>
      </c>
    </row>
    <row r="42" spans="1:20" ht="20.100000000000001" customHeight="1" x14ac:dyDescent="0.25">
      <c r="A42" t="s">
        <v>335</v>
      </c>
      <c r="B42" t="s">
        <v>378</v>
      </c>
      <c r="C42" t="s">
        <v>384</v>
      </c>
      <c r="D42" t="s">
        <v>8</v>
      </c>
      <c r="E42" t="s">
        <v>150</v>
      </c>
      <c r="F42" t="s">
        <v>165</v>
      </c>
      <c r="G42" t="s">
        <v>155</v>
      </c>
      <c r="H42">
        <v>100</v>
      </c>
      <c r="I42" t="s">
        <v>168</v>
      </c>
      <c r="J42" t="str">
        <f t="shared" ref="J42:J47" si="19">J44</f>
        <v>رمادى</v>
      </c>
      <c r="K42" t="s">
        <v>78</v>
      </c>
      <c r="L42" s="75">
        <v>11949</v>
      </c>
      <c r="M42">
        <v>10749</v>
      </c>
      <c r="N42">
        <f>IF(OR(ISBLANK(store[[#This Row],[تاريخ التسليم]]),ISBLANK(store[[#This Row],[ميعاد الطلب]])),0,store[[#This Row],[تاريخ التسليم]]-store[[#This Row],[ميعاد الطلب]])</f>
        <v>20</v>
      </c>
      <c r="O42">
        <f>IF(OR(ISBLANK(store[[#This Row],[ميعاد التسليم]]),ISBLANK(store[[#This Row],[ميعاد الطلب]])),0,store[[#This Row],[ميعاد التسليم]]-store[[#This Row],[ميعاد الطلب]])</f>
        <v>17</v>
      </c>
      <c r="P42" s="74">
        <v>45547</v>
      </c>
      <c r="Q42" s="74">
        <v>45564</v>
      </c>
      <c r="R42" s="74">
        <v>45567</v>
      </c>
      <c r="S42" t="s">
        <v>199</v>
      </c>
      <c r="T42" t="s">
        <v>191</v>
      </c>
    </row>
    <row r="43" spans="1:20" ht="20.100000000000001" customHeight="1" x14ac:dyDescent="0.25">
      <c r="A43" t="s">
        <v>335</v>
      </c>
      <c r="B43" t="s">
        <v>378</v>
      </c>
      <c r="C43" t="s">
        <v>384</v>
      </c>
      <c r="D43" t="s">
        <v>8</v>
      </c>
      <c r="E43" t="s">
        <v>150</v>
      </c>
      <c r="F43" t="s">
        <v>165</v>
      </c>
      <c r="G43" t="s">
        <v>155</v>
      </c>
      <c r="H43">
        <v>100</v>
      </c>
      <c r="I43" t="s">
        <v>168</v>
      </c>
      <c r="J43" t="str">
        <f t="shared" si="19"/>
        <v>اسود</v>
      </c>
      <c r="K43" t="s">
        <v>78</v>
      </c>
      <c r="L43" s="75">
        <v>11949</v>
      </c>
      <c r="M43">
        <v>10749</v>
      </c>
      <c r="N43">
        <f>IF(OR(ISBLANK(store[[#This Row],[تاريخ التسليم]]),ISBLANK(store[[#This Row],[ميعاد الطلب]])),0,store[[#This Row],[تاريخ التسليم]]-store[[#This Row],[ميعاد الطلب]])</f>
        <v>20</v>
      </c>
      <c r="O43">
        <f>IF(OR(ISBLANK(store[[#This Row],[ميعاد التسليم]]),ISBLANK(store[[#This Row],[ميعاد الطلب]])),0,store[[#This Row],[ميعاد التسليم]]-store[[#This Row],[ميعاد الطلب]])</f>
        <v>17</v>
      </c>
      <c r="P43" s="74">
        <v>45547</v>
      </c>
      <c r="Q43" s="74">
        <v>45564</v>
      </c>
      <c r="R43" s="74">
        <v>45567</v>
      </c>
      <c r="S43" t="s">
        <v>199</v>
      </c>
      <c r="T43" t="s">
        <v>191</v>
      </c>
    </row>
    <row r="44" spans="1:20" ht="20.100000000000001" customHeight="1" x14ac:dyDescent="0.25">
      <c r="A44" t="s">
        <v>325</v>
      </c>
      <c r="B44" t="s">
        <v>378</v>
      </c>
      <c r="C44" t="s">
        <v>385</v>
      </c>
      <c r="D44" t="s">
        <v>8</v>
      </c>
      <c r="E44" t="s">
        <v>150</v>
      </c>
      <c r="F44" t="s">
        <v>171</v>
      </c>
      <c r="G44" t="s">
        <v>155</v>
      </c>
      <c r="H44">
        <v>80</v>
      </c>
      <c r="I44" t="s">
        <v>167</v>
      </c>
      <c r="J44" t="str">
        <f t="shared" si="19"/>
        <v>رمادى</v>
      </c>
      <c r="K44" t="s">
        <v>91</v>
      </c>
      <c r="L44" s="75">
        <v>16599</v>
      </c>
      <c r="M44" t="s">
        <v>16</v>
      </c>
      <c r="N44">
        <f>IF(OR(ISBLANK(store[[#This Row],[تاريخ التسليم]]),ISBLANK(store[[#This Row],[ميعاد الطلب]])),0,store[[#This Row],[تاريخ التسليم]]-store[[#This Row],[ميعاد الطلب]])</f>
        <v>20</v>
      </c>
      <c r="O44">
        <f>IF(OR(ISBLANK(store[[#This Row],[ميعاد التسليم]]),ISBLANK(store[[#This Row],[ميعاد الطلب]])),0,store[[#This Row],[ميعاد التسليم]]-store[[#This Row],[ميعاد الطلب]])</f>
        <v>17</v>
      </c>
      <c r="P44" s="74">
        <v>45548</v>
      </c>
      <c r="Q44" s="74">
        <v>45565</v>
      </c>
      <c r="R44" s="74">
        <v>45568</v>
      </c>
      <c r="S44" t="s">
        <v>199</v>
      </c>
      <c r="T44" t="s">
        <v>191</v>
      </c>
    </row>
    <row r="45" spans="1:20" ht="20.100000000000001" customHeight="1" x14ac:dyDescent="0.25">
      <c r="A45" t="s">
        <v>336</v>
      </c>
      <c r="B45" t="s">
        <v>378</v>
      </c>
      <c r="C45" t="s">
        <v>387</v>
      </c>
      <c r="D45" t="s">
        <v>8</v>
      </c>
      <c r="E45" t="s">
        <v>150</v>
      </c>
      <c r="F45" t="s">
        <v>165</v>
      </c>
      <c r="G45" t="s">
        <v>155</v>
      </c>
      <c r="H45">
        <v>80</v>
      </c>
      <c r="I45" t="s">
        <v>167</v>
      </c>
      <c r="J45" t="str">
        <f t="shared" si="19"/>
        <v>اسود</v>
      </c>
      <c r="K45" t="s">
        <v>90</v>
      </c>
      <c r="L45" s="75">
        <v>10999</v>
      </c>
      <c r="M45" t="s">
        <v>16</v>
      </c>
      <c r="N45">
        <f>IF(OR(ISBLANK(store[[#This Row],[تاريخ التسليم]]),ISBLANK(store[[#This Row],[ميعاد الطلب]])),0,store[[#This Row],[تاريخ التسليم]]-store[[#This Row],[ميعاد الطلب]])</f>
        <v>33</v>
      </c>
      <c r="O45">
        <f>IF(OR(ISBLANK(store[[#This Row],[ميعاد التسليم]]),ISBLANK(store[[#This Row],[ميعاد الطلب]])),0,store[[#This Row],[ميعاد التسليم]]-store[[#This Row],[ميعاد الطلب]])</f>
        <v>17</v>
      </c>
      <c r="P45" s="74">
        <v>45548</v>
      </c>
      <c r="Q45" s="74">
        <v>45565</v>
      </c>
      <c r="R45" s="74">
        <v>45581</v>
      </c>
      <c r="S45" t="s">
        <v>28</v>
      </c>
      <c r="T45" t="s">
        <v>191</v>
      </c>
    </row>
    <row r="46" spans="1:20" ht="20.100000000000001" customHeight="1" x14ac:dyDescent="0.25">
      <c r="A46" t="s">
        <v>337</v>
      </c>
      <c r="B46" t="s">
        <v>378</v>
      </c>
      <c r="C46" t="s">
        <v>387</v>
      </c>
      <c r="D46" t="s">
        <v>8</v>
      </c>
      <c r="E46" t="s">
        <v>150</v>
      </c>
      <c r="F46" t="s">
        <v>165</v>
      </c>
      <c r="G46" t="s">
        <v>155</v>
      </c>
      <c r="H46">
        <v>140</v>
      </c>
      <c r="I46" t="s">
        <v>170</v>
      </c>
      <c r="J46" t="str">
        <f t="shared" si="19"/>
        <v>رمادى</v>
      </c>
      <c r="K46" t="s">
        <v>94</v>
      </c>
      <c r="L46" s="75">
        <v>13099</v>
      </c>
      <c r="M46" t="s">
        <v>16</v>
      </c>
      <c r="N46">
        <f>IF(OR(ISBLANK(store[[#This Row],[تاريخ التسليم]]),ISBLANK(store[[#This Row],[ميعاد الطلب]])),0,store[[#This Row],[تاريخ التسليم]]-store[[#This Row],[ميعاد الطلب]])</f>
        <v>20</v>
      </c>
      <c r="O46">
        <f>IF(OR(ISBLANK(store[[#This Row],[ميعاد التسليم]]),ISBLANK(store[[#This Row],[ميعاد الطلب]])),0,store[[#This Row],[ميعاد التسليم]]-store[[#This Row],[ميعاد الطلب]])</f>
        <v>17</v>
      </c>
      <c r="P46" s="74">
        <v>45548</v>
      </c>
      <c r="Q46" s="74">
        <v>45565</v>
      </c>
      <c r="R46" s="74">
        <v>45568</v>
      </c>
      <c r="S46" t="s">
        <v>28</v>
      </c>
      <c r="T46" t="s">
        <v>191</v>
      </c>
    </row>
    <row r="47" spans="1:20" ht="20.100000000000001" customHeight="1" x14ac:dyDescent="0.25">
      <c r="A47" t="s">
        <v>338</v>
      </c>
      <c r="B47" t="s">
        <v>378</v>
      </c>
      <c r="C47" t="s">
        <v>384</v>
      </c>
      <c r="D47" t="s">
        <v>8</v>
      </c>
      <c r="E47" t="s">
        <v>150</v>
      </c>
      <c r="F47" t="s">
        <v>165</v>
      </c>
      <c r="G47" t="s">
        <v>154</v>
      </c>
      <c r="H47">
        <v>120</v>
      </c>
      <c r="I47" t="s">
        <v>173</v>
      </c>
      <c r="J47" t="str">
        <f t="shared" si="19"/>
        <v>اسود</v>
      </c>
      <c r="K47" t="s">
        <v>98</v>
      </c>
      <c r="L47" s="75">
        <v>13849</v>
      </c>
      <c r="M47" t="s">
        <v>16</v>
      </c>
      <c r="N47">
        <f>IF(OR(ISBLANK(store[[#This Row],[تاريخ التسليم]]),ISBLANK(store[[#This Row],[ميعاد الطلب]])),0,store[[#This Row],[تاريخ التسليم]]-store[[#This Row],[ميعاد الطلب]])</f>
        <v>37</v>
      </c>
      <c r="O47">
        <f>IF(OR(ISBLANK(store[[#This Row],[ميعاد التسليم]]),ISBLANK(store[[#This Row],[ميعاد الطلب]])),0,store[[#This Row],[ميعاد التسليم]]-store[[#This Row],[ميعاد الطلب]])</f>
        <v>17</v>
      </c>
      <c r="P47" s="74">
        <v>45548</v>
      </c>
      <c r="Q47" s="74">
        <v>45565</v>
      </c>
      <c r="R47" s="74">
        <v>45585</v>
      </c>
      <c r="S47" t="s">
        <v>199</v>
      </c>
      <c r="T47" t="s">
        <v>191</v>
      </c>
    </row>
    <row r="48" spans="1:20" ht="20.100000000000001" customHeight="1" x14ac:dyDescent="0.25">
      <c r="A48" t="s">
        <v>339</v>
      </c>
      <c r="B48" t="s">
        <v>378</v>
      </c>
      <c r="C48" t="s">
        <v>385</v>
      </c>
      <c r="D48" t="s">
        <v>8</v>
      </c>
      <c r="E48" t="s">
        <v>161</v>
      </c>
      <c r="F48" t="s">
        <v>206</v>
      </c>
      <c r="G48" t="str">
        <f t="shared" ref="G48:H48" si="20">G50</f>
        <v>كيفنج</v>
      </c>
      <c r="H48">
        <f t="shared" si="20"/>
        <v>90</v>
      </c>
      <c r="I48" t="s">
        <v>168</v>
      </c>
      <c r="J48" t="s">
        <v>172</v>
      </c>
      <c r="K48" t="s">
        <v>103</v>
      </c>
      <c r="L48" s="75">
        <v>21999</v>
      </c>
      <c r="M48" t="s">
        <v>16</v>
      </c>
      <c r="N48">
        <f>IF(OR(ISBLANK(store[[#This Row],[تاريخ التسليم]]),ISBLANK(store[[#This Row],[ميعاد الطلب]])),0,store[[#This Row],[تاريخ التسليم]]-store[[#This Row],[ميعاد الطلب]])</f>
        <v>0</v>
      </c>
      <c r="O48">
        <f>IF(OR(ISBLANK(store[[#This Row],[ميعاد التسليم]]),ISBLANK(store[[#This Row],[ميعاد الطلب]])),0,store[[#This Row],[ميعاد التسليم]]-store[[#This Row],[ميعاد الطلب]])</f>
        <v>17</v>
      </c>
      <c r="P48" s="74">
        <v>45548</v>
      </c>
      <c r="Q48" s="74">
        <v>45565</v>
      </c>
      <c r="S48" t="s">
        <v>199</v>
      </c>
      <c r="T48" t="s">
        <v>191</v>
      </c>
    </row>
    <row r="49" spans="1:20" ht="20.100000000000001" customHeight="1" x14ac:dyDescent="0.25">
      <c r="A49" t="s">
        <v>340</v>
      </c>
      <c r="B49" t="s">
        <v>378</v>
      </c>
      <c r="C49" t="s">
        <v>384</v>
      </c>
      <c r="D49" t="s">
        <v>8</v>
      </c>
      <c r="E49" t="s">
        <v>150</v>
      </c>
      <c r="F49" t="s">
        <v>165</v>
      </c>
      <c r="G49" t="s">
        <v>155</v>
      </c>
      <c r="H49">
        <v>80</v>
      </c>
      <c r="I49" t="s">
        <v>167</v>
      </c>
      <c r="J49" t="str">
        <f t="shared" ref="J49:J50" si="21">J51</f>
        <v>اسود</v>
      </c>
      <c r="K49" t="s">
        <v>90</v>
      </c>
      <c r="L49" s="75">
        <v>10999</v>
      </c>
      <c r="M49" t="s">
        <v>16</v>
      </c>
      <c r="N49">
        <f>IF(OR(ISBLANK(store[[#This Row],[تاريخ التسليم]]),ISBLANK(store[[#This Row],[ميعاد الطلب]])),0,store[[#This Row],[تاريخ التسليم]]-store[[#This Row],[ميعاد الطلب]])</f>
        <v>32</v>
      </c>
      <c r="O49">
        <f>IF(OR(ISBLANK(store[[#This Row],[ميعاد التسليم]]),ISBLANK(store[[#This Row],[ميعاد الطلب]])),0,store[[#This Row],[ميعاد التسليم]]-store[[#This Row],[ميعاد الطلب]])</f>
        <v>17</v>
      </c>
      <c r="P49" s="74">
        <v>45548</v>
      </c>
      <c r="Q49" s="74">
        <v>45565</v>
      </c>
      <c r="R49" s="74">
        <v>45580</v>
      </c>
      <c r="S49" t="s">
        <v>199</v>
      </c>
      <c r="T49" t="s">
        <v>191</v>
      </c>
    </row>
    <row r="50" spans="1:20" ht="20.100000000000001" customHeight="1" x14ac:dyDescent="0.25">
      <c r="A50" t="s">
        <v>341</v>
      </c>
      <c r="B50" t="s">
        <v>378</v>
      </c>
      <c r="C50" t="s">
        <v>385</v>
      </c>
      <c r="D50" t="s">
        <v>8</v>
      </c>
      <c r="E50" t="s">
        <v>150</v>
      </c>
      <c r="F50" t="s">
        <v>171</v>
      </c>
      <c r="G50" t="s">
        <v>155</v>
      </c>
      <c r="H50">
        <v>90</v>
      </c>
      <c r="I50" t="s">
        <v>168</v>
      </c>
      <c r="J50" t="str">
        <f t="shared" si="21"/>
        <v>رمادى</v>
      </c>
      <c r="K50" t="s">
        <v>111</v>
      </c>
      <c r="L50" s="75">
        <v>17249</v>
      </c>
      <c r="M50" t="s">
        <v>16</v>
      </c>
      <c r="N50">
        <f>IF(OR(ISBLANK(store[[#This Row],[تاريخ التسليم]]),ISBLANK(store[[#This Row],[ميعاد الطلب]])),0,store[[#This Row],[تاريخ التسليم]]-store[[#This Row],[ميعاد الطلب]])</f>
        <v>21</v>
      </c>
      <c r="O50">
        <f>IF(OR(ISBLANK(store[[#This Row],[ميعاد التسليم]]),ISBLANK(store[[#This Row],[ميعاد الطلب]])),0,store[[#This Row],[ميعاد التسليم]]-store[[#This Row],[ميعاد الطلب]])</f>
        <v>17</v>
      </c>
      <c r="P50" s="74">
        <v>45548</v>
      </c>
      <c r="Q50" s="74">
        <v>45565</v>
      </c>
      <c r="R50" s="74">
        <v>45569</v>
      </c>
      <c r="S50" t="s">
        <v>199</v>
      </c>
      <c r="T50" t="s">
        <v>191</v>
      </c>
    </row>
    <row r="51" spans="1:20" ht="20.100000000000001" customHeight="1" x14ac:dyDescent="0.25">
      <c r="A51" t="s">
        <v>342</v>
      </c>
      <c r="B51" t="s">
        <v>378</v>
      </c>
      <c r="C51" t="s">
        <v>384</v>
      </c>
      <c r="D51" t="s">
        <v>8</v>
      </c>
      <c r="E51" t="s">
        <v>292</v>
      </c>
      <c r="F51" t="s">
        <v>187</v>
      </c>
      <c r="G51" t="str">
        <f t="shared" ref="G51:J52" si="22">G53</f>
        <v>فورجينا</v>
      </c>
      <c r="H51">
        <f t="shared" si="22"/>
        <v>120</v>
      </c>
      <c r="I51" t="str">
        <f t="shared" si="22"/>
        <v>اسود</v>
      </c>
      <c r="J51" t="str">
        <f t="shared" si="22"/>
        <v>اسود</v>
      </c>
      <c r="K51" t="s">
        <v>140</v>
      </c>
      <c r="L51" s="75">
        <v>8349</v>
      </c>
      <c r="M51" t="s">
        <v>16</v>
      </c>
      <c r="N51">
        <f>IF(OR(ISBLANK(store[[#This Row],[تاريخ التسليم]]),ISBLANK(store[[#This Row],[ميعاد الطلب]])),0,store[[#This Row],[تاريخ التسليم]]-store[[#This Row],[ميعاد الطلب]])</f>
        <v>37</v>
      </c>
      <c r="O51">
        <f>IF(OR(ISBLANK(store[[#This Row],[ميعاد التسليم]]),ISBLANK(store[[#This Row],[ميعاد الطلب]])),0,store[[#This Row],[ميعاد التسليم]]-store[[#This Row],[ميعاد الطلب]])</f>
        <v>32</v>
      </c>
      <c r="P51" s="74">
        <v>45549</v>
      </c>
      <c r="Q51" s="74">
        <v>45581</v>
      </c>
      <c r="R51" s="74">
        <v>45586</v>
      </c>
      <c r="S51" t="s">
        <v>199</v>
      </c>
      <c r="T51" t="s">
        <v>191</v>
      </c>
    </row>
    <row r="52" spans="1:20" ht="20.100000000000001" customHeight="1" x14ac:dyDescent="0.25">
      <c r="A52" t="s">
        <v>343</v>
      </c>
      <c r="B52" t="s">
        <v>378</v>
      </c>
      <c r="C52" t="s">
        <v>385</v>
      </c>
      <c r="D52" t="s">
        <v>8</v>
      </c>
      <c r="E52" t="s">
        <v>292</v>
      </c>
      <c r="F52" t="s">
        <v>188</v>
      </c>
      <c r="G52" t="str">
        <f t="shared" si="22"/>
        <v>اسبانى</v>
      </c>
      <c r="H52">
        <f t="shared" si="22"/>
        <v>140</v>
      </c>
      <c r="I52" t="str">
        <f t="shared" si="22"/>
        <v>اسود</v>
      </c>
      <c r="J52" t="str">
        <f t="shared" si="22"/>
        <v>رمادى</v>
      </c>
      <c r="K52" t="s">
        <v>27</v>
      </c>
      <c r="L52" s="75">
        <v>7849</v>
      </c>
      <c r="M52" t="s">
        <v>16</v>
      </c>
      <c r="N52">
        <f>IF(OR(ISBLANK(store[[#This Row],[تاريخ التسليم]]),ISBLANK(store[[#This Row],[ميعاد الطلب]])),0,store[[#This Row],[تاريخ التسليم]]-store[[#This Row],[ميعاد الطلب]])</f>
        <v>46</v>
      </c>
      <c r="O52">
        <f>IF(OR(ISBLANK(store[[#This Row],[ميعاد التسليم]]),ISBLANK(store[[#This Row],[ميعاد الطلب]])),0,store[[#This Row],[ميعاد التسليم]]-store[[#This Row],[ميعاد الطلب]])</f>
        <v>45</v>
      </c>
      <c r="P52" s="74">
        <v>45549</v>
      </c>
      <c r="Q52" s="74">
        <v>45594</v>
      </c>
      <c r="R52" s="74">
        <v>45595</v>
      </c>
      <c r="S52" t="s">
        <v>199</v>
      </c>
      <c r="T52" t="s">
        <v>191</v>
      </c>
    </row>
    <row r="53" spans="1:20" ht="20.100000000000001" customHeight="1" x14ac:dyDescent="0.25">
      <c r="A53" t="s">
        <v>119</v>
      </c>
      <c r="B53" t="s">
        <v>378</v>
      </c>
      <c r="C53" t="s">
        <v>384</v>
      </c>
      <c r="D53" t="s">
        <v>8</v>
      </c>
      <c r="E53" t="s">
        <v>150</v>
      </c>
      <c r="F53" t="s">
        <v>151</v>
      </c>
      <c r="G53" t="str">
        <f t="shared" ref="G53:H53" si="23">G55</f>
        <v>فورجينا</v>
      </c>
      <c r="H53">
        <f t="shared" si="23"/>
        <v>120</v>
      </c>
      <c r="I53" t="s">
        <v>168</v>
      </c>
      <c r="J53" t="s">
        <v>168</v>
      </c>
      <c r="K53" t="s">
        <v>120</v>
      </c>
      <c r="L53" s="75">
        <v>9399</v>
      </c>
      <c r="M53" t="s">
        <v>115</v>
      </c>
      <c r="N53">
        <f>IF(OR(ISBLANK(store[[#This Row],[تاريخ التسليم]]),ISBLANK(store[[#This Row],[ميعاد الطلب]])),0,store[[#This Row],[تاريخ التسليم]]-store[[#This Row],[ميعاد الطلب]])</f>
        <v>31</v>
      </c>
      <c r="O53">
        <f>IF(OR(ISBLANK(store[[#This Row],[ميعاد التسليم]]),ISBLANK(store[[#This Row],[ميعاد الطلب]])),0,store[[#This Row],[ميعاد التسليم]]-store[[#This Row],[ميعاد الطلب]])</f>
        <v>45</v>
      </c>
      <c r="P53" s="74">
        <v>45549</v>
      </c>
      <c r="Q53" s="74">
        <v>45594</v>
      </c>
      <c r="R53" s="74">
        <v>45580</v>
      </c>
      <c r="S53" t="s">
        <v>199</v>
      </c>
      <c r="T53" t="s">
        <v>191</v>
      </c>
    </row>
    <row r="54" spans="1:20" ht="20.100000000000001" customHeight="1" x14ac:dyDescent="0.25">
      <c r="A54" t="s">
        <v>344</v>
      </c>
      <c r="B54" t="s">
        <v>378</v>
      </c>
      <c r="C54" t="s">
        <v>384</v>
      </c>
      <c r="D54" t="s">
        <v>8</v>
      </c>
      <c r="E54" t="s">
        <v>150</v>
      </c>
      <c r="F54" t="s">
        <v>153</v>
      </c>
      <c r="G54" t="s">
        <v>156</v>
      </c>
      <c r="H54">
        <v>140</v>
      </c>
      <c r="I54" t="s">
        <v>168</v>
      </c>
      <c r="J54" t="str">
        <f t="shared" ref="J54:J61" si="24">J56</f>
        <v>رمادى</v>
      </c>
      <c r="K54" t="s">
        <v>123</v>
      </c>
      <c r="L54" s="75">
        <v>11817</v>
      </c>
      <c r="M54" t="s">
        <v>115</v>
      </c>
      <c r="N54">
        <f>IF(OR(ISBLANK(store[[#This Row],[تاريخ التسليم]]),ISBLANK(store[[#This Row],[ميعاد الطلب]])),0,store[[#This Row],[تاريخ التسليم]]-store[[#This Row],[ميعاد الطلب]])</f>
        <v>31</v>
      </c>
      <c r="O54">
        <f>IF(OR(ISBLANK(store[[#This Row],[ميعاد التسليم]]),ISBLANK(store[[#This Row],[ميعاد الطلب]])),0,store[[#This Row],[ميعاد التسليم]]-store[[#This Row],[ميعاد الطلب]])</f>
        <v>45</v>
      </c>
      <c r="P54" s="74">
        <v>45549</v>
      </c>
      <c r="Q54" s="74">
        <v>45594</v>
      </c>
      <c r="R54" s="74">
        <v>45580</v>
      </c>
      <c r="S54" t="s">
        <v>199</v>
      </c>
      <c r="T54" t="s">
        <v>191</v>
      </c>
    </row>
    <row r="55" spans="1:20" ht="20.100000000000001" customHeight="1" x14ac:dyDescent="0.25">
      <c r="A55" t="s">
        <v>345</v>
      </c>
      <c r="B55" t="s">
        <v>378</v>
      </c>
      <c r="C55" t="s">
        <v>385</v>
      </c>
      <c r="D55" t="s">
        <v>8</v>
      </c>
      <c r="E55" t="s">
        <v>292</v>
      </c>
      <c r="F55" t="s">
        <v>189</v>
      </c>
      <c r="G55" t="str">
        <f t="shared" ref="G55:I55" si="25">G57</f>
        <v>فورجينا</v>
      </c>
      <c r="H55">
        <f t="shared" si="25"/>
        <v>120</v>
      </c>
      <c r="I55" t="str">
        <f t="shared" si="25"/>
        <v>ابيض</v>
      </c>
      <c r="J55" t="str">
        <f t="shared" si="24"/>
        <v>اسود</v>
      </c>
      <c r="K55" t="s">
        <v>125</v>
      </c>
      <c r="L55" s="75">
        <v>8349</v>
      </c>
      <c r="M55" t="s">
        <v>115</v>
      </c>
      <c r="N55">
        <f>IF(OR(ISBLANK(store[[#This Row],[تاريخ التسليم]]),ISBLANK(store[[#This Row],[ميعاد الطلب]])),0,store[[#This Row],[تاريخ التسليم]]-store[[#This Row],[ميعاد الطلب]])</f>
        <v>35</v>
      </c>
      <c r="O55">
        <f>IF(OR(ISBLANK(store[[#This Row],[ميعاد التسليم]]),ISBLANK(store[[#This Row],[ميعاد الطلب]])),0,store[[#This Row],[ميعاد التسليم]]-store[[#This Row],[ميعاد الطلب]])</f>
        <v>45</v>
      </c>
      <c r="P55" s="74">
        <v>45549</v>
      </c>
      <c r="Q55" s="74">
        <v>45594</v>
      </c>
      <c r="R55" s="74">
        <v>45584</v>
      </c>
      <c r="S55" t="s">
        <v>199</v>
      </c>
      <c r="T55" t="s">
        <v>191</v>
      </c>
    </row>
    <row r="56" spans="1:20" ht="20.100000000000001" customHeight="1" x14ac:dyDescent="0.25">
      <c r="A56" t="s">
        <v>346</v>
      </c>
      <c r="B56" t="s">
        <v>378</v>
      </c>
      <c r="C56" t="s">
        <v>385</v>
      </c>
      <c r="D56" t="s">
        <v>8</v>
      </c>
      <c r="E56" t="s">
        <v>150</v>
      </c>
      <c r="F56" t="s">
        <v>153</v>
      </c>
      <c r="G56" t="s">
        <v>177</v>
      </c>
      <c r="H56">
        <v>120</v>
      </c>
      <c r="I56" t="s">
        <v>167</v>
      </c>
      <c r="J56" t="str">
        <f t="shared" si="24"/>
        <v>رمادى</v>
      </c>
      <c r="K56" s="76" t="s">
        <v>130</v>
      </c>
      <c r="L56" s="75">
        <v>17886</v>
      </c>
      <c r="M56" t="s">
        <v>115</v>
      </c>
      <c r="N56">
        <f>IF(OR(ISBLANK(store[[#This Row],[تاريخ التسليم]]),ISBLANK(store[[#This Row],[ميعاد الطلب]])),0,store[[#This Row],[تاريخ التسليم]]-store[[#This Row],[ميعاد الطلب]])</f>
        <v>0</v>
      </c>
      <c r="O56">
        <f>IF(OR(ISBLANK(store[[#This Row],[ميعاد التسليم]]),ISBLANK(store[[#This Row],[ميعاد الطلب]])),0,store[[#This Row],[ميعاد التسليم]]-store[[#This Row],[ميعاد الطلب]])</f>
        <v>45</v>
      </c>
      <c r="P56" s="74">
        <v>45549</v>
      </c>
      <c r="Q56" s="74">
        <v>45594</v>
      </c>
      <c r="S56" t="s">
        <v>320</v>
      </c>
      <c r="T56" t="s">
        <v>236</v>
      </c>
    </row>
    <row r="57" spans="1:20" ht="20.100000000000001" customHeight="1" x14ac:dyDescent="0.25">
      <c r="A57" t="s">
        <v>346</v>
      </c>
      <c r="B57" t="s">
        <v>378</v>
      </c>
      <c r="C57" t="s">
        <v>385</v>
      </c>
      <c r="D57" t="s">
        <v>8</v>
      </c>
      <c r="E57" t="s">
        <v>150</v>
      </c>
      <c r="F57" t="s">
        <v>153</v>
      </c>
      <c r="G57" t="s">
        <v>177</v>
      </c>
      <c r="H57">
        <v>120</v>
      </c>
      <c r="I57" t="s">
        <v>167</v>
      </c>
      <c r="J57" t="str">
        <f t="shared" si="24"/>
        <v>اسود</v>
      </c>
      <c r="K57" s="76" t="s">
        <v>130</v>
      </c>
      <c r="L57" s="75">
        <v>17886</v>
      </c>
      <c r="M57" t="s">
        <v>115</v>
      </c>
      <c r="N57">
        <f>IF(OR(ISBLANK(store[[#This Row],[تاريخ التسليم]]),ISBLANK(store[[#This Row],[ميعاد الطلب]])),0,store[[#This Row],[تاريخ التسليم]]-store[[#This Row],[ميعاد الطلب]])</f>
        <v>0</v>
      </c>
      <c r="O57">
        <f>IF(OR(ISBLANK(store[[#This Row],[ميعاد التسليم]]),ISBLANK(store[[#This Row],[ميعاد الطلب]])),0,store[[#This Row],[ميعاد التسليم]]-store[[#This Row],[ميعاد الطلب]])</f>
        <v>45</v>
      </c>
      <c r="P57" s="74">
        <v>45549</v>
      </c>
      <c r="Q57" s="74">
        <v>45594</v>
      </c>
      <c r="S57" t="s">
        <v>320</v>
      </c>
      <c r="T57" t="s">
        <v>236</v>
      </c>
    </row>
    <row r="58" spans="1:20" ht="20.100000000000001" customHeight="1" x14ac:dyDescent="0.25">
      <c r="A58" t="s">
        <v>131</v>
      </c>
      <c r="B58" t="s">
        <v>378</v>
      </c>
      <c r="C58" t="s">
        <v>385</v>
      </c>
      <c r="D58" t="s">
        <v>8</v>
      </c>
      <c r="E58" t="s">
        <v>150</v>
      </c>
      <c r="F58" t="s">
        <v>153</v>
      </c>
      <c r="G58" t="s">
        <v>156</v>
      </c>
      <c r="H58">
        <v>120</v>
      </c>
      <c r="I58" t="s">
        <v>167</v>
      </c>
      <c r="J58" t="str">
        <f t="shared" si="24"/>
        <v>رمادى</v>
      </c>
      <c r="K58" s="76" t="s">
        <v>132</v>
      </c>
      <c r="L58" s="75">
        <v>10987</v>
      </c>
      <c r="M58" t="s">
        <v>16</v>
      </c>
      <c r="N58">
        <f>IF(OR(ISBLANK(store[[#This Row],[تاريخ التسليم]]),ISBLANK(store[[#This Row],[ميعاد الطلب]])),0,store[[#This Row],[تاريخ التسليم]]-store[[#This Row],[ميعاد الطلب]])</f>
        <v>29</v>
      </c>
      <c r="O58">
        <f>IF(OR(ISBLANK(store[[#This Row],[ميعاد التسليم]]),ISBLANK(store[[#This Row],[ميعاد الطلب]])),0,store[[#This Row],[ميعاد التسليم]]-store[[#This Row],[ميعاد الطلب]])</f>
        <v>45</v>
      </c>
      <c r="P58" s="74">
        <v>45549</v>
      </c>
      <c r="Q58" s="74">
        <v>45594</v>
      </c>
      <c r="R58" s="74">
        <v>45578</v>
      </c>
      <c r="S58" t="s">
        <v>199</v>
      </c>
      <c r="T58" t="s">
        <v>191</v>
      </c>
    </row>
    <row r="59" spans="1:20" ht="20.100000000000001" customHeight="1" x14ac:dyDescent="0.25">
      <c r="A59" t="s">
        <v>131</v>
      </c>
      <c r="B59" t="s">
        <v>378</v>
      </c>
      <c r="C59" t="s">
        <v>385</v>
      </c>
      <c r="D59" t="s">
        <v>8</v>
      </c>
      <c r="E59" t="s">
        <v>150</v>
      </c>
      <c r="F59" t="s">
        <v>153</v>
      </c>
      <c r="G59" t="s">
        <v>156</v>
      </c>
      <c r="H59">
        <v>120</v>
      </c>
      <c r="I59" t="s">
        <v>167</v>
      </c>
      <c r="J59" t="str">
        <f t="shared" si="24"/>
        <v>اسود</v>
      </c>
      <c r="K59" s="76" t="s">
        <v>132</v>
      </c>
      <c r="L59" s="75">
        <v>10987</v>
      </c>
      <c r="M59" t="s">
        <v>16</v>
      </c>
      <c r="N59">
        <f>IF(OR(ISBLANK(store[[#This Row],[تاريخ التسليم]]),ISBLANK(store[[#This Row],[ميعاد الطلب]])),0,store[[#This Row],[تاريخ التسليم]]-store[[#This Row],[ميعاد الطلب]])</f>
        <v>29</v>
      </c>
      <c r="O59">
        <f>IF(OR(ISBLANK(store[[#This Row],[ميعاد التسليم]]),ISBLANK(store[[#This Row],[ميعاد الطلب]])),0,store[[#This Row],[ميعاد التسليم]]-store[[#This Row],[ميعاد الطلب]])</f>
        <v>45</v>
      </c>
      <c r="P59" s="74">
        <v>45549</v>
      </c>
      <c r="Q59" s="74">
        <v>45594</v>
      </c>
      <c r="R59" s="74">
        <v>45578</v>
      </c>
      <c r="S59" t="s">
        <v>199</v>
      </c>
      <c r="T59" t="s">
        <v>191</v>
      </c>
    </row>
    <row r="60" spans="1:20" ht="20.100000000000001" customHeight="1" x14ac:dyDescent="0.25">
      <c r="A60" t="s">
        <v>347</v>
      </c>
      <c r="B60" t="s">
        <v>378</v>
      </c>
      <c r="C60" t="s">
        <v>385</v>
      </c>
      <c r="D60" t="s">
        <v>8</v>
      </c>
      <c r="E60" t="s">
        <v>292</v>
      </c>
      <c r="F60" t="s">
        <v>187</v>
      </c>
      <c r="G60" t="str">
        <f t="shared" ref="G60:I60" si="26">G62</f>
        <v>كيفنج</v>
      </c>
      <c r="H60">
        <f t="shared" si="26"/>
        <v>80</v>
      </c>
      <c r="I60" t="str">
        <f t="shared" si="26"/>
        <v>اسود</v>
      </c>
      <c r="J60" t="str">
        <f t="shared" si="24"/>
        <v>رمادى</v>
      </c>
      <c r="K60" t="s">
        <v>63</v>
      </c>
      <c r="L60" s="75">
        <v>10319</v>
      </c>
      <c r="M60" t="s">
        <v>16</v>
      </c>
      <c r="N60">
        <f>IF(OR(ISBLANK(store[[#This Row],[تاريخ التسليم]]),ISBLANK(store[[#This Row],[ميعاد الطلب]])),0,store[[#This Row],[تاريخ التسليم]]-store[[#This Row],[ميعاد الطلب]])</f>
        <v>35</v>
      </c>
      <c r="O60">
        <f>IF(OR(ISBLANK(store[[#This Row],[ميعاد التسليم]]),ISBLANK(store[[#This Row],[ميعاد الطلب]])),0,store[[#This Row],[ميعاد التسليم]]-store[[#This Row],[ميعاد الطلب]])</f>
        <v>45</v>
      </c>
      <c r="P60" s="74">
        <v>45549</v>
      </c>
      <c r="Q60" s="74">
        <v>45594</v>
      </c>
      <c r="R60" s="74">
        <v>45584</v>
      </c>
      <c r="S60" t="s">
        <v>199</v>
      </c>
      <c r="T60" t="s">
        <v>191</v>
      </c>
    </row>
    <row r="61" spans="1:20" ht="20.100000000000001" customHeight="1" x14ac:dyDescent="0.25">
      <c r="A61" t="s">
        <v>348</v>
      </c>
      <c r="B61" t="s">
        <v>378</v>
      </c>
      <c r="C61" t="s">
        <v>113</v>
      </c>
      <c r="D61" t="s">
        <v>8</v>
      </c>
      <c r="E61" t="s">
        <v>150</v>
      </c>
      <c r="F61" t="s">
        <v>165</v>
      </c>
      <c r="G61" t="s">
        <v>155</v>
      </c>
      <c r="H61">
        <v>120</v>
      </c>
      <c r="I61" t="s">
        <v>172</v>
      </c>
      <c r="J61" t="str">
        <f t="shared" si="24"/>
        <v>اسود</v>
      </c>
      <c r="K61" t="s">
        <v>114</v>
      </c>
      <c r="L61" s="75">
        <v>12999</v>
      </c>
      <c r="M61" t="s">
        <v>115</v>
      </c>
      <c r="N61">
        <f>IF(OR(ISBLANK(store[[#This Row],[تاريخ التسليم]]),ISBLANK(store[[#This Row],[ميعاد الطلب]])),0,store[[#This Row],[تاريخ التسليم]]-store[[#This Row],[ميعاد الطلب]])</f>
        <v>33</v>
      </c>
      <c r="O61">
        <f>IF(OR(ISBLANK(store[[#This Row],[ميعاد التسليم]]),ISBLANK(store[[#This Row],[ميعاد الطلب]])),0,store[[#This Row],[ميعاد التسليم]]-store[[#This Row],[ميعاد الطلب]])</f>
        <v>67</v>
      </c>
      <c r="P61" s="74">
        <v>45549</v>
      </c>
      <c r="Q61" s="74">
        <v>45616</v>
      </c>
      <c r="R61" s="74">
        <v>45582</v>
      </c>
      <c r="S61" t="s">
        <v>28</v>
      </c>
      <c r="T61" t="s">
        <v>191</v>
      </c>
    </row>
    <row r="62" spans="1:20" ht="20.100000000000001" customHeight="1" x14ac:dyDescent="0.25">
      <c r="A62" t="s">
        <v>116</v>
      </c>
      <c r="B62" t="s">
        <v>378</v>
      </c>
      <c r="C62" t="s">
        <v>387</v>
      </c>
      <c r="D62" t="s">
        <v>8</v>
      </c>
      <c r="E62" t="s">
        <v>161</v>
      </c>
      <c r="F62" t="s">
        <v>206</v>
      </c>
      <c r="G62" t="str">
        <f t="shared" ref="G62:H62" si="27">G64</f>
        <v>كيفنج</v>
      </c>
      <c r="H62">
        <f t="shared" si="27"/>
        <v>80</v>
      </c>
      <c r="I62" t="s">
        <v>168</v>
      </c>
      <c r="J62" t="s">
        <v>172</v>
      </c>
      <c r="K62" t="s">
        <v>103</v>
      </c>
      <c r="L62" s="75">
        <v>21999</v>
      </c>
      <c r="M62" t="s">
        <v>16</v>
      </c>
      <c r="N62">
        <f>IF(OR(ISBLANK(store[[#This Row],[تاريخ التسليم]]),ISBLANK(store[[#This Row],[ميعاد الطلب]])),0,store[[#This Row],[تاريخ التسليم]]-store[[#This Row],[ميعاد الطلب]])</f>
        <v>0</v>
      </c>
      <c r="O62">
        <f>IF(OR(ISBLANK(store[[#This Row],[ميعاد التسليم]]),ISBLANK(store[[#This Row],[ميعاد الطلب]])),0,store[[#This Row],[ميعاد التسليم]]-store[[#This Row],[ميعاد الطلب]])</f>
        <v>67</v>
      </c>
      <c r="P62" s="74">
        <v>45549</v>
      </c>
      <c r="Q62" s="74">
        <v>45616</v>
      </c>
      <c r="S62" t="s">
        <v>320</v>
      </c>
      <c r="T62" t="s">
        <v>236</v>
      </c>
    </row>
    <row r="63" spans="1:20" ht="20.100000000000001" customHeight="1" x14ac:dyDescent="0.25">
      <c r="A63" t="s">
        <v>349</v>
      </c>
      <c r="B63" t="s">
        <v>378</v>
      </c>
      <c r="C63" t="s">
        <v>385</v>
      </c>
      <c r="D63" t="s">
        <v>8</v>
      </c>
      <c r="E63" t="s">
        <v>150</v>
      </c>
      <c r="F63" t="s">
        <v>165</v>
      </c>
      <c r="G63" t="s">
        <v>152</v>
      </c>
      <c r="H63">
        <v>100</v>
      </c>
      <c r="I63" t="s">
        <v>172</v>
      </c>
      <c r="J63" t="str">
        <f>J65</f>
        <v>اسود</v>
      </c>
      <c r="K63" t="s">
        <v>127</v>
      </c>
      <c r="L63" s="75">
        <v>12399</v>
      </c>
      <c r="M63" t="s">
        <v>16</v>
      </c>
      <c r="N63">
        <f>IF(OR(ISBLANK(store[[#This Row],[تاريخ التسليم]]),ISBLANK(store[[#This Row],[ميعاد الطلب]])),0,store[[#This Row],[تاريخ التسليم]]-store[[#This Row],[ميعاد الطلب]])</f>
        <v>17</v>
      </c>
      <c r="O63">
        <f>IF(OR(ISBLANK(store[[#This Row],[ميعاد التسليم]]),ISBLANK(store[[#This Row],[ميعاد الطلب]])),0,store[[#This Row],[ميعاد التسليم]]-store[[#This Row],[ميعاد الطلب]])</f>
        <v>67</v>
      </c>
      <c r="P63" s="74">
        <v>45549</v>
      </c>
      <c r="Q63" s="74">
        <v>45616</v>
      </c>
      <c r="R63" s="74">
        <v>45566</v>
      </c>
      <c r="S63" t="s">
        <v>28</v>
      </c>
      <c r="T63" t="s">
        <v>191</v>
      </c>
    </row>
    <row r="64" spans="1:20" ht="20.100000000000001" customHeight="1" x14ac:dyDescent="0.25">
      <c r="A64" t="s">
        <v>133</v>
      </c>
      <c r="B64" t="s">
        <v>378</v>
      </c>
      <c r="C64" t="s">
        <v>385</v>
      </c>
      <c r="D64" t="s">
        <v>8</v>
      </c>
      <c r="E64" t="s">
        <v>161</v>
      </c>
      <c r="F64" t="s">
        <v>206</v>
      </c>
      <c r="G64" t="str">
        <f t="shared" ref="G64:H64" si="28">G66</f>
        <v>كيفنج</v>
      </c>
      <c r="H64">
        <f t="shared" si="28"/>
        <v>80</v>
      </c>
      <c r="I64" t="s">
        <v>168</v>
      </c>
      <c r="J64" t="s">
        <v>172</v>
      </c>
      <c r="K64" t="s">
        <v>103</v>
      </c>
      <c r="L64" s="75">
        <v>21999</v>
      </c>
      <c r="M64" t="s">
        <v>16</v>
      </c>
      <c r="N64">
        <f>IF(OR(ISBLANK(store[[#This Row],[تاريخ التسليم]]),ISBLANK(store[[#This Row],[ميعاد الطلب]])),0,store[[#This Row],[تاريخ التسليم]]-store[[#This Row],[ميعاد الطلب]])</f>
        <v>25</v>
      </c>
      <c r="O64">
        <f>IF(OR(ISBLANK(store[[#This Row],[ميعاد التسليم]]),ISBLANK(store[[#This Row],[ميعاد الطلب]])),0,store[[#This Row],[ميعاد التسليم]]-store[[#This Row],[ميعاد الطلب]])</f>
        <v>67</v>
      </c>
      <c r="P64" s="74">
        <v>45549</v>
      </c>
      <c r="Q64" s="74">
        <v>45616</v>
      </c>
      <c r="R64" s="74">
        <v>45574</v>
      </c>
      <c r="S64" t="s">
        <v>199</v>
      </c>
      <c r="T64" t="s">
        <v>191</v>
      </c>
    </row>
    <row r="65" spans="1:20" ht="20.100000000000001" customHeight="1" x14ac:dyDescent="0.25">
      <c r="A65" t="s">
        <v>350</v>
      </c>
      <c r="B65" t="s">
        <v>378</v>
      </c>
      <c r="C65" t="s">
        <v>385</v>
      </c>
      <c r="D65" t="s">
        <v>8</v>
      </c>
      <c r="E65" t="s">
        <v>150</v>
      </c>
      <c r="F65" t="s">
        <v>165</v>
      </c>
      <c r="G65" t="s">
        <v>152</v>
      </c>
      <c r="H65">
        <v>80</v>
      </c>
      <c r="I65" t="s">
        <v>167</v>
      </c>
      <c r="J65" t="str">
        <f t="shared" ref="J65:J67" si="29">J67</f>
        <v>اسود</v>
      </c>
      <c r="K65" t="s">
        <v>137</v>
      </c>
      <c r="L65" s="75">
        <v>10999</v>
      </c>
      <c r="M65" t="s">
        <v>115</v>
      </c>
      <c r="N65">
        <f>IF(OR(ISBLANK(store[[#This Row],[تاريخ التسليم]]),ISBLANK(store[[#This Row],[ميعاد الطلب]])),0,store[[#This Row],[تاريخ التسليم]]-store[[#This Row],[ميعاد الطلب]])</f>
        <v>32</v>
      </c>
      <c r="O65">
        <f>IF(OR(ISBLANK(store[[#This Row],[ميعاد التسليم]]),ISBLANK(store[[#This Row],[ميعاد الطلب]])),0,store[[#This Row],[ميعاد التسليم]]-store[[#This Row],[ميعاد الطلب]])</f>
        <v>67</v>
      </c>
      <c r="P65" s="74">
        <v>45549</v>
      </c>
      <c r="Q65" s="74">
        <v>45616</v>
      </c>
      <c r="R65" s="74">
        <v>45581</v>
      </c>
      <c r="S65" t="s">
        <v>199</v>
      </c>
      <c r="T65" t="s">
        <v>191</v>
      </c>
    </row>
    <row r="66" spans="1:20" ht="20.100000000000001" customHeight="1" x14ac:dyDescent="0.25">
      <c r="A66" t="s">
        <v>183</v>
      </c>
      <c r="B66" t="s">
        <v>378</v>
      </c>
      <c r="C66" t="s">
        <v>385</v>
      </c>
      <c r="D66" t="s">
        <v>8</v>
      </c>
      <c r="E66" t="s">
        <v>150</v>
      </c>
      <c r="F66" t="s">
        <v>165</v>
      </c>
      <c r="G66" t="s">
        <v>155</v>
      </c>
      <c r="H66">
        <v>80</v>
      </c>
      <c r="I66" t="s">
        <v>167</v>
      </c>
      <c r="J66" t="str">
        <f t="shared" si="29"/>
        <v>رمادى</v>
      </c>
      <c r="K66" t="str">
        <f t="shared" ref="K66:K68" si="30">K68</f>
        <v xml:space="preserve"> سرير كيفنج 100 اسود </v>
      </c>
      <c r="L66" s="75">
        <v>10999</v>
      </c>
      <c r="M66" t="s">
        <v>115</v>
      </c>
      <c r="N66">
        <f>IF(OR(ISBLANK(store[[#This Row],[تاريخ التسليم]]),ISBLANK(store[[#This Row],[ميعاد الطلب]])),0,store[[#This Row],[تاريخ التسليم]]-store[[#This Row],[ميعاد الطلب]])</f>
        <v>31</v>
      </c>
      <c r="O66">
        <f>IF(OR(ISBLANK(store[[#This Row],[ميعاد التسليم]]),ISBLANK(store[[#This Row],[ميعاد الطلب]])),0,store[[#This Row],[ميعاد التسليم]]-store[[#This Row],[ميعاد الطلب]])</f>
        <v>66</v>
      </c>
      <c r="P66" s="74">
        <f t="shared" ref="P66:P68" si="31">DATE(2024,9,15)</f>
        <v>45550</v>
      </c>
      <c r="Q66" s="74">
        <v>45616</v>
      </c>
      <c r="R66" s="74">
        <v>45581</v>
      </c>
      <c r="S66" t="s">
        <v>199</v>
      </c>
      <c r="T66" t="s">
        <v>191</v>
      </c>
    </row>
    <row r="67" spans="1:20" ht="20.100000000000001" customHeight="1" x14ac:dyDescent="0.25">
      <c r="A67" t="s">
        <v>183</v>
      </c>
      <c r="B67" t="s">
        <v>378</v>
      </c>
      <c r="C67" t="s">
        <v>385</v>
      </c>
      <c r="D67" t="s">
        <v>8</v>
      </c>
      <c r="E67" t="s">
        <v>150</v>
      </c>
      <c r="F67" t="s">
        <v>165</v>
      </c>
      <c r="G67" t="s">
        <v>155</v>
      </c>
      <c r="H67">
        <v>80</v>
      </c>
      <c r="I67" t="s">
        <v>167</v>
      </c>
      <c r="J67" t="str">
        <f t="shared" si="29"/>
        <v>اسود</v>
      </c>
      <c r="K67" t="str">
        <f t="shared" si="30"/>
        <v xml:space="preserve"> سرير كيفنج 100اسود </v>
      </c>
      <c r="L67" s="75">
        <v>10999</v>
      </c>
      <c r="M67" t="s">
        <v>115</v>
      </c>
      <c r="N67">
        <f>IF(OR(ISBLANK(store[[#This Row],[تاريخ التسليم]]),ISBLANK(store[[#This Row],[ميعاد الطلب]])),0,store[[#This Row],[تاريخ التسليم]]-store[[#This Row],[ميعاد الطلب]])</f>
        <v>31</v>
      </c>
      <c r="O67">
        <f>IF(OR(ISBLANK(store[[#This Row],[ميعاد التسليم]]),ISBLANK(store[[#This Row],[ميعاد الطلب]])),0,store[[#This Row],[ميعاد التسليم]]-store[[#This Row],[ميعاد الطلب]])</f>
        <v>66</v>
      </c>
      <c r="P67" s="74">
        <f t="shared" si="31"/>
        <v>45550</v>
      </c>
      <c r="Q67" s="74">
        <v>45616</v>
      </c>
      <c r="R67" s="74">
        <v>45581</v>
      </c>
      <c r="S67" t="s">
        <v>199</v>
      </c>
      <c r="T67" t="s">
        <v>191</v>
      </c>
    </row>
    <row r="68" spans="1:20" ht="20.100000000000001" customHeight="1" x14ac:dyDescent="0.25">
      <c r="A68" t="s">
        <v>185</v>
      </c>
      <c r="B68" t="s">
        <v>378</v>
      </c>
      <c r="C68" t="s">
        <v>385</v>
      </c>
      <c r="D68" t="s">
        <v>8</v>
      </c>
      <c r="E68" t="s">
        <v>161</v>
      </c>
      <c r="F68" t="s">
        <v>206</v>
      </c>
      <c r="G68" t="str">
        <f t="shared" ref="G68:H68" si="32">G70</f>
        <v>كيفنج</v>
      </c>
      <c r="H68">
        <f t="shared" si="32"/>
        <v>80</v>
      </c>
      <c r="I68" t="s">
        <v>168</v>
      </c>
      <c r="J68" t="s">
        <v>172</v>
      </c>
      <c r="K68" t="str">
        <f t="shared" si="30"/>
        <v xml:space="preserve"> سرير كيفنج 100 اسود </v>
      </c>
      <c r="L68" s="75">
        <v>21999</v>
      </c>
      <c r="M68" t="s">
        <v>115</v>
      </c>
      <c r="N68">
        <f>IF(OR(ISBLANK(store[[#This Row],[تاريخ التسليم]]),ISBLANK(store[[#This Row],[ميعاد الطلب]])),0,store[[#This Row],[تاريخ التسليم]]-store[[#This Row],[ميعاد الطلب]])</f>
        <v>34</v>
      </c>
      <c r="O68">
        <f>IF(OR(ISBLANK(store[[#This Row],[ميعاد التسليم]]),ISBLANK(store[[#This Row],[ميعاد الطلب]])),0,store[[#This Row],[ميعاد التسليم]]-store[[#This Row],[ميعاد الطلب]])</f>
        <v>66</v>
      </c>
      <c r="P68" s="74">
        <f t="shared" si="31"/>
        <v>45550</v>
      </c>
      <c r="Q68" s="74">
        <v>45616</v>
      </c>
      <c r="R68" s="74">
        <v>45584</v>
      </c>
      <c r="S68" t="s">
        <v>199</v>
      </c>
      <c r="T68" t="s">
        <v>191</v>
      </c>
    </row>
    <row r="69" spans="1:20" ht="20.100000000000001" customHeight="1" x14ac:dyDescent="0.25">
      <c r="A69" t="s">
        <v>196</v>
      </c>
      <c r="B69" t="s">
        <v>378</v>
      </c>
      <c r="C69" t="s">
        <v>387</v>
      </c>
      <c r="D69" t="s">
        <v>8</v>
      </c>
      <c r="E69" t="s">
        <v>292</v>
      </c>
      <c r="F69" t="s">
        <v>187</v>
      </c>
      <c r="G69" t="str">
        <f t="shared" ref="G69:I69" si="33">G71</f>
        <v>كينج</v>
      </c>
      <c r="H69">
        <f t="shared" si="33"/>
        <v>100</v>
      </c>
      <c r="I69" t="str">
        <f t="shared" si="33"/>
        <v>اسود</v>
      </c>
      <c r="J69" t="str">
        <f t="shared" ref="J69:K70" si="34">J71</f>
        <v>اسود</v>
      </c>
      <c r="K69" t="str">
        <f t="shared" si="34"/>
        <v xml:space="preserve"> سرير كيفنج 100اسود </v>
      </c>
      <c r="L69" s="75">
        <v>7849</v>
      </c>
      <c r="M69">
        <v>6306</v>
      </c>
      <c r="N69">
        <f>IF(OR(ISBLANK(store[[#This Row],[تاريخ التسليم]]),ISBLANK(store[[#This Row],[ميعاد الطلب]])),0,store[[#This Row],[تاريخ التسليم]]-store[[#This Row],[ميعاد الطلب]])</f>
        <v>59</v>
      </c>
      <c r="O69">
        <f>IF(OR(ISBLANK(store[[#This Row],[ميعاد التسليم]]),ISBLANK(store[[#This Row],[ميعاد الطلب]])),0,store[[#This Row],[ميعاد التسليم]]-store[[#This Row],[ميعاد الطلب]])</f>
        <v>44</v>
      </c>
      <c r="P69" s="74">
        <f t="shared" ref="P69" si="35">DATE(2024,9,16)</f>
        <v>45551</v>
      </c>
      <c r="Q69" s="74">
        <v>45595</v>
      </c>
      <c r="R69" s="74">
        <v>45610</v>
      </c>
      <c r="S69" t="s">
        <v>28</v>
      </c>
      <c r="T69" t="s">
        <v>191</v>
      </c>
    </row>
    <row r="70" spans="1:20" ht="20.100000000000001" customHeight="1" x14ac:dyDescent="0.25">
      <c r="A70" t="s">
        <v>83</v>
      </c>
      <c r="B70" t="s">
        <v>379</v>
      </c>
      <c r="C70" t="s">
        <v>384</v>
      </c>
      <c r="D70" t="s">
        <v>392</v>
      </c>
      <c r="E70" t="s">
        <v>150</v>
      </c>
      <c r="F70" t="s">
        <v>165</v>
      </c>
      <c r="G70" t="s">
        <v>155</v>
      </c>
      <c r="H70">
        <v>80</v>
      </c>
      <c r="I70" t="s">
        <v>167</v>
      </c>
      <c r="J70" t="str">
        <f t="shared" si="34"/>
        <v>اسود</v>
      </c>
      <c r="K70" t="str">
        <f t="shared" si="34"/>
        <v xml:space="preserve"> سرير كيفنج 100 اسود </v>
      </c>
      <c r="L70" s="75">
        <v>5074</v>
      </c>
      <c r="M70" t="s">
        <v>85</v>
      </c>
      <c r="N70">
        <f>IF(OR(ISBLANK(store[[#This Row],[تاريخ التسليم]]),ISBLANK(store[[#This Row],[ميعاد الطلب]])),0,store[[#This Row],[تاريخ التسليم]]-store[[#This Row],[ميعاد الطلب]])</f>
        <v>21</v>
      </c>
      <c r="O70">
        <f>IF(OR(ISBLANK(store[[#This Row],[ميعاد التسليم]]),ISBLANK(store[[#This Row],[ميعاد الطلب]])),0,store[[#This Row],[ميعاد التسليم]]-store[[#This Row],[ميعاد الطلب]])</f>
        <v>14</v>
      </c>
      <c r="P70" s="74">
        <v>45556</v>
      </c>
      <c r="Q70" s="74">
        <v>45570</v>
      </c>
      <c r="R70" s="74">
        <v>45577</v>
      </c>
      <c r="S70" t="s">
        <v>199</v>
      </c>
      <c r="T70" t="s">
        <v>191</v>
      </c>
    </row>
    <row r="71" spans="1:20" ht="20.100000000000001" customHeight="1" x14ac:dyDescent="0.25">
      <c r="A71" t="s">
        <v>43</v>
      </c>
      <c r="B71" t="s">
        <v>379</v>
      </c>
      <c r="C71" t="s">
        <v>385</v>
      </c>
      <c r="D71" t="s">
        <v>43</v>
      </c>
      <c r="E71" t="s">
        <v>150</v>
      </c>
      <c r="F71" t="s">
        <v>165</v>
      </c>
      <c r="G71" t="s">
        <v>154</v>
      </c>
      <c r="H71">
        <v>100</v>
      </c>
      <c r="I71" t="s">
        <v>168</v>
      </c>
      <c r="J71" t="s">
        <v>168</v>
      </c>
      <c r="K71" t="s">
        <v>358</v>
      </c>
      <c r="L71" s="75">
        <v>6250</v>
      </c>
      <c r="M71" t="s">
        <v>85</v>
      </c>
      <c r="N71">
        <f>IF(OR(ISBLANK(store[[#This Row],[تاريخ التسليم]]),ISBLANK(store[[#This Row],[ميعاد الطلب]])),0,store[[#This Row],[تاريخ التسليم]]-store[[#This Row],[ميعاد الطلب]])</f>
        <v>24</v>
      </c>
      <c r="O71">
        <f>IF(OR(ISBLANK(store[[#This Row],[ميعاد التسليم]]),ISBLANK(store[[#This Row],[ميعاد الطلب]])),0,store[[#This Row],[ميعاد التسليم]]-store[[#This Row],[ميعاد الطلب]])</f>
        <v>15</v>
      </c>
      <c r="P71" s="74">
        <v>45558</v>
      </c>
      <c r="Q71" s="74">
        <v>45573</v>
      </c>
      <c r="R71" s="74">
        <v>45582</v>
      </c>
      <c r="S71" t="s">
        <v>199</v>
      </c>
      <c r="T71" t="s">
        <v>191</v>
      </c>
    </row>
    <row r="72" spans="1:20" ht="20.100000000000001" customHeight="1" x14ac:dyDescent="0.25">
      <c r="A72" t="s">
        <v>43</v>
      </c>
      <c r="B72" t="s">
        <v>379</v>
      </c>
      <c r="C72" t="s">
        <v>385</v>
      </c>
      <c r="D72" t="s">
        <v>43</v>
      </c>
      <c r="E72" t="s">
        <v>150</v>
      </c>
      <c r="F72" t="s">
        <v>165</v>
      </c>
      <c r="G72" t="s">
        <v>154</v>
      </c>
      <c r="H72">
        <v>100</v>
      </c>
      <c r="I72" t="s">
        <v>168</v>
      </c>
      <c r="J72" t="s">
        <v>168</v>
      </c>
      <c r="K72" t="s">
        <v>357</v>
      </c>
      <c r="L72" s="75">
        <v>6250</v>
      </c>
      <c r="M72" t="s">
        <v>85</v>
      </c>
      <c r="N72">
        <f>IF(OR(ISBLANK(store[[#This Row],[تاريخ التسليم]]),ISBLANK(store[[#This Row],[ميعاد الطلب]])),0,store[[#This Row],[تاريخ التسليم]]-store[[#This Row],[ميعاد الطلب]])</f>
        <v>24</v>
      </c>
      <c r="O72">
        <f>IF(OR(ISBLANK(store[[#This Row],[ميعاد التسليم]]),ISBLANK(store[[#This Row],[ميعاد الطلب]])),0,store[[#This Row],[ميعاد التسليم]]-store[[#This Row],[ميعاد الطلب]])</f>
        <v>15</v>
      </c>
      <c r="P72" s="74">
        <v>45558</v>
      </c>
      <c r="Q72" s="74">
        <v>45573</v>
      </c>
      <c r="R72" s="74">
        <v>45582</v>
      </c>
      <c r="S72" t="s">
        <v>199</v>
      </c>
      <c r="T72" t="s">
        <v>191</v>
      </c>
    </row>
    <row r="73" spans="1:20" ht="20.100000000000001" customHeight="1" x14ac:dyDescent="0.25">
      <c r="A73" t="s">
        <v>202</v>
      </c>
      <c r="B73" t="s">
        <v>378</v>
      </c>
      <c r="C73" t="s">
        <v>385</v>
      </c>
      <c r="D73" t="s">
        <v>8</v>
      </c>
      <c r="E73" t="s">
        <v>150</v>
      </c>
      <c r="F73" t="s">
        <v>153</v>
      </c>
      <c r="G73" t="s">
        <v>177</v>
      </c>
      <c r="H73">
        <v>120</v>
      </c>
      <c r="I73" t="s">
        <v>167</v>
      </c>
      <c r="J73" t="str">
        <f>J75</f>
        <v xml:space="preserve">نبيتى </v>
      </c>
      <c r="K73" t="str">
        <f t="shared" ref="K73:K75" si="36">K75</f>
        <v>سرير دوربن فانتستيك مقاس 100 لونه القماش اسود</v>
      </c>
      <c r="L73" s="75">
        <v>8943</v>
      </c>
      <c r="M73">
        <v>9033</v>
      </c>
      <c r="N73">
        <f>IF(OR(ISBLANK(store[[#This Row],[تاريخ التسليم]]),ISBLANK(store[[#This Row],[ميعاد الطلب]])),0,store[[#This Row],[تاريخ التسليم]]-store[[#This Row],[ميعاد الطلب]])</f>
        <v>14</v>
      </c>
      <c r="O73">
        <f>IF(OR(ISBLANK(store[[#This Row],[ميعاد التسليم]]),ISBLANK(store[[#This Row],[ميعاد الطلب]])),0,store[[#This Row],[ميعاد التسليم]]-store[[#This Row],[ميعاد الطلب]])</f>
        <v>45</v>
      </c>
      <c r="P73" s="74">
        <v>45561</v>
      </c>
      <c r="Q73" s="74">
        <v>45606</v>
      </c>
      <c r="R73" s="74">
        <v>45575</v>
      </c>
      <c r="S73" t="s">
        <v>199</v>
      </c>
      <c r="T73" t="s">
        <v>191</v>
      </c>
    </row>
    <row r="74" spans="1:20" ht="20.100000000000001" customHeight="1" x14ac:dyDescent="0.25">
      <c r="A74" t="s">
        <v>203</v>
      </c>
      <c r="B74" t="s">
        <v>378</v>
      </c>
      <c r="C74" t="s">
        <v>384</v>
      </c>
      <c r="D74" t="s">
        <v>8</v>
      </c>
      <c r="E74" t="s">
        <v>292</v>
      </c>
      <c r="F74" t="s">
        <v>189</v>
      </c>
      <c r="G74" t="str">
        <f t="shared" ref="G74:J74" si="37">G76</f>
        <v>كينج</v>
      </c>
      <c r="H74">
        <f t="shared" si="37"/>
        <v>100</v>
      </c>
      <c r="I74" t="str">
        <f t="shared" si="37"/>
        <v xml:space="preserve">اسود </v>
      </c>
      <c r="J74" t="str">
        <f t="shared" si="37"/>
        <v>بيج</v>
      </c>
      <c r="K74" t="str">
        <f t="shared" si="36"/>
        <v>سرير دوربن فانتستيك مقاس 100 لونه القماش اسود</v>
      </c>
      <c r="L74" s="75">
        <v>8349</v>
      </c>
      <c r="M74">
        <v>8433</v>
      </c>
      <c r="N74">
        <f>IF(OR(ISBLANK(store[[#This Row],[تاريخ التسليم]]),ISBLANK(store[[#This Row],[ميعاد الطلب]])),0,store[[#This Row],[تاريخ التسليم]]-store[[#This Row],[ميعاد الطلب]])</f>
        <v>0</v>
      </c>
      <c r="O74">
        <f>IF(OR(ISBLANK(store[[#This Row],[ميعاد التسليم]]),ISBLANK(store[[#This Row],[ميعاد الطلب]])),0,store[[#This Row],[ميعاد التسليم]]-store[[#This Row],[ميعاد الطلب]])</f>
        <v>45</v>
      </c>
      <c r="P74" s="74">
        <v>45561</v>
      </c>
      <c r="Q74" s="74">
        <v>45606</v>
      </c>
      <c r="S74" t="s">
        <v>320</v>
      </c>
      <c r="T74" t="s">
        <v>236</v>
      </c>
    </row>
    <row r="75" spans="1:20" ht="20.100000000000001" customHeight="1" x14ac:dyDescent="0.25">
      <c r="A75" t="s">
        <v>52</v>
      </c>
      <c r="B75" t="s">
        <v>379</v>
      </c>
      <c r="C75" t="s">
        <v>385</v>
      </c>
      <c r="D75" t="s">
        <v>52</v>
      </c>
      <c r="E75" t="s">
        <v>161</v>
      </c>
      <c r="F75" t="s">
        <v>206</v>
      </c>
      <c r="G75" t="str">
        <f t="shared" ref="G75:I75" si="38">G77</f>
        <v>اسبانى</v>
      </c>
      <c r="H75">
        <f t="shared" si="38"/>
        <v>120</v>
      </c>
      <c r="I75" t="str">
        <f t="shared" si="38"/>
        <v>ابيض</v>
      </c>
      <c r="J75" t="s">
        <v>220</v>
      </c>
      <c r="K75" t="str">
        <f t="shared" si="36"/>
        <v>سرير دوربن فانتستيك مقاس 100 لونه القماش اسود</v>
      </c>
      <c r="L75" s="75">
        <v>14950</v>
      </c>
      <c r="M75" t="s">
        <v>16</v>
      </c>
      <c r="N75">
        <f>IF(OR(ISBLANK(store[[#This Row],[تاريخ التسليم]]),ISBLANK(store[[#This Row],[ميعاد الطلب]])),0,store[[#This Row],[تاريخ التسليم]]-store[[#This Row],[ميعاد الطلب]])</f>
        <v>17</v>
      </c>
      <c r="O75">
        <f>IF(OR(ISBLANK(store[[#This Row],[ميعاد التسليم]]),ISBLANK(store[[#This Row],[ميعاد الطلب]])),0,store[[#This Row],[ميعاد التسليم]]-store[[#This Row],[ميعاد الطلب]])</f>
        <v>18</v>
      </c>
      <c r="P75" s="74">
        <v>45561</v>
      </c>
      <c r="Q75" s="74">
        <v>45579</v>
      </c>
      <c r="R75" s="74">
        <v>45578</v>
      </c>
      <c r="S75" t="s">
        <v>199</v>
      </c>
      <c r="T75" t="s">
        <v>191</v>
      </c>
    </row>
    <row r="76" spans="1:20" ht="20.100000000000001" customHeight="1" x14ac:dyDescent="0.25">
      <c r="A76" t="s">
        <v>52</v>
      </c>
      <c r="B76" t="s">
        <v>379</v>
      </c>
      <c r="C76" t="s">
        <v>384</v>
      </c>
      <c r="D76" t="s">
        <v>52</v>
      </c>
      <c r="E76" t="s">
        <v>150</v>
      </c>
      <c r="F76" t="s">
        <v>165</v>
      </c>
      <c r="G76" t="s">
        <v>154</v>
      </c>
      <c r="H76">
        <v>100</v>
      </c>
      <c r="I76" t="s">
        <v>207</v>
      </c>
      <c r="J76" t="str">
        <f t="shared" ref="J76:K78" si="39">J78</f>
        <v>بيج</v>
      </c>
      <c r="K76" t="str">
        <f t="shared" si="39"/>
        <v>سرير دوربن فانتستيك مقاس 100 لونه القماش اسود</v>
      </c>
      <c r="L76" s="75">
        <v>9208</v>
      </c>
      <c r="M76">
        <v>9608</v>
      </c>
      <c r="N76">
        <f>IF(OR(ISBLANK(store[[#This Row],[تاريخ التسليم]]),ISBLANK(store[[#This Row],[ميعاد الطلب]])),0,store[[#This Row],[تاريخ التسليم]]-store[[#This Row],[ميعاد الطلب]])</f>
        <v>0</v>
      </c>
      <c r="O76">
        <f>IF(OR(ISBLANK(store[[#This Row],[ميعاد التسليم]]),ISBLANK(store[[#This Row],[ميعاد الطلب]])),0,store[[#This Row],[ميعاد التسليم]]-store[[#This Row],[ميعاد الطلب]])</f>
        <v>18</v>
      </c>
      <c r="P76" s="74">
        <v>45561</v>
      </c>
      <c r="Q76" s="74">
        <v>45579</v>
      </c>
      <c r="S76" t="s">
        <v>320</v>
      </c>
      <c r="T76" t="s">
        <v>236</v>
      </c>
    </row>
    <row r="77" spans="1:20" ht="20.100000000000001" customHeight="1" x14ac:dyDescent="0.25">
      <c r="A77" t="s">
        <v>52</v>
      </c>
      <c r="B77" t="s">
        <v>379</v>
      </c>
      <c r="C77" t="s">
        <v>384</v>
      </c>
      <c r="D77" t="s">
        <v>52</v>
      </c>
      <c r="E77" t="s">
        <v>150</v>
      </c>
      <c r="F77" t="s">
        <v>153</v>
      </c>
      <c r="G77" t="s">
        <v>156</v>
      </c>
      <c r="H77">
        <v>120</v>
      </c>
      <c r="I77" t="s">
        <v>167</v>
      </c>
      <c r="J77" t="str">
        <f t="shared" si="39"/>
        <v>اسود</v>
      </c>
      <c r="K77" t="str">
        <f t="shared" si="39"/>
        <v>سرير دوربن فانتستيك مقاس 100 لونه القماش اسود</v>
      </c>
      <c r="L77" s="75">
        <v>7433</v>
      </c>
      <c r="M77" t="s">
        <v>16</v>
      </c>
      <c r="N77">
        <f>IF(OR(ISBLANK(store[[#This Row],[تاريخ التسليم]]),ISBLANK(store[[#This Row],[ميعاد الطلب]])),0,store[[#This Row],[تاريخ التسليم]]-store[[#This Row],[ميعاد الطلب]])</f>
        <v>22</v>
      </c>
      <c r="O77">
        <f>IF(OR(ISBLANK(store[[#This Row],[ميعاد التسليم]]),ISBLANK(store[[#This Row],[ميعاد الطلب]])),0,store[[#This Row],[ميعاد التسليم]]-store[[#This Row],[ميعاد الطلب]])</f>
        <v>21</v>
      </c>
      <c r="P77" s="74">
        <v>45564</v>
      </c>
      <c r="Q77" s="74">
        <v>45585</v>
      </c>
      <c r="R77" s="74">
        <v>45586</v>
      </c>
      <c r="S77" t="s">
        <v>199</v>
      </c>
      <c r="T77" t="s">
        <v>191</v>
      </c>
    </row>
    <row r="78" spans="1:20" ht="20.100000000000001" customHeight="1" x14ac:dyDescent="0.25">
      <c r="A78" t="s">
        <v>83</v>
      </c>
      <c r="B78" t="s">
        <v>379</v>
      </c>
      <c r="C78" t="s">
        <v>384</v>
      </c>
      <c r="D78" t="s">
        <v>392</v>
      </c>
      <c r="E78" t="s">
        <v>150</v>
      </c>
      <c r="F78" t="s">
        <v>153</v>
      </c>
      <c r="G78" t="s">
        <v>177</v>
      </c>
      <c r="H78">
        <v>120</v>
      </c>
      <c r="I78" t="s">
        <v>167</v>
      </c>
      <c r="J78" t="str">
        <f t="shared" si="39"/>
        <v>بيج</v>
      </c>
      <c r="K78" t="str">
        <f t="shared" si="39"/>
        <v>سرير دوربن فانتستيك مقاس 100 لونه القماش اسود</v>
      </c>
      <c r="L78" s="75">
        <v>4020</v>
      </c>
      <c r="M78" t="s">
        <v>85</v>
      </c>
      <c r="N78">
        <f>IF(OR(ISBLANK(store[[#This Row],[تاريخ التسليم]]),ISBLANK(store[[#This Row],[ميعاد الطلب]])),0,store[[#This Row],[تاريخ التسليم]]-store[[#This Row],[ميعاد الطلب]])</f>
        <v>13</v>
      </c>
      <c r="O78">
        <f>IF(OR(ISBLANK(store[[#This Row],[ميعاد التسليم]]),ISBLANK(store[[#This Row],[ميعاد الطلب]])),0,store[[#This Row],[ميعاد التسليم]]-store[[#This Row],[ميعاد الطلب]])</f>
        <v>13</v>
      </c>
      <c r="P78" s="74">
        <v>45564</v>
      </c>
      <c r="Q78" s="74">
        <v>45577</v>
      </c>
      <c r="R78" s="74">
        <v>45577</v>
      </c>
      <c r="S78" t="s">
        <v>199</v>
      </c>
      <c r="T78" t="s">
        <v>191</v>
      </c>
    </row>
    <row r="79" spans="1:20" ht="20.100000000000001" customHeight="1" x14ac:dyDescent="0.25">
      <c r="A79" t="s">
        <v>210</v>
      </c>
      <c r="B79" t="s">
        <v>378</v>
      </c>
      <c r="C79" t="s">
        <v>211</v>
      </c>
      <c r="D79" t="s">
        <v>212</v>
      </c>
      <c r="E79" t="s">
        <v>150</v>
      </c>
      <c r="F79" t="s">
        <v>165</v>
      </c>
      <c r="G79" t="s">
        <v>246</v>
      </c>
      <c r="H79">
        <v>100</v>
      </c>
      <c r="I79" t="s">
        <v>214</v>
      </c>
      <c r="J79" t="s">
        <v>168</v>
      </c>
      <c r="K79" t="s">
        <v>356</v>
      </c>
      <c r="L79" s="75">
        <v>8544.9054400000005</v>
      </c>
      <c r="N79">
        <f>IF(OR(ISBLANK(store[[#This Row],[تاريخ التسليم]]),ISBLANK(store[[#This Row],[ميعاد الطلب]])),0,store[[#This Row],[تاريخ التسليم]]-store[[#This Row],[ميعاد الطلب]])</f>
        <v>8</v>
      </c>
      <c r="O79">
        <f>IF(OR(ISBLANK(store[[#This Row],[ميعاد التسليم]]),ISBLANK(store[[#This Row],[ميعاد الطلب]])),0,store[[#This Row],[ميعاد التسليم]]-store[[#This Row],[ميعاد الطلب]])</f>
        <v>8</v>
      </c>
      <c r="P79" s="74">
        <v>45566</v>
      </c>
      <c r="Q79" s="74">
        <v>45574</v>
      </c>
      <c r="R79" s="74">
        <v>45574</v>
      </c>
      <c r="S79" t="s">
        <v>227</v>
      </c>
      <c r="T79" t="s">
        <v>191</v>
      </c>
    </row>
    <row r="80" spans="1:20" ht="20.100000000000001" customHeight="1" x14ac:dyDescent="0.25">
      <c r="A80" t="s">
        <v>210</v>
      </c>
      <c r="B80" t="s">
        <v>378</v>
      </c>
      <c r="C80" t="s">
        <v>211</v>
      </c>
      <c r="D80" t="s">
        <v>212</v>
      </c>
      <c r="E80" t="s">
        <v>150</v>
      </c>
      <c r="F80" t="s">
        <v>151</v>
      </c>
      <c r="G80" t="str">
        <f t="shared" ref="G80:H86" si="40">G82</f>
        <v>كيفنج</v>
      </c>
      <c r="H80">
        <f t="shared" si="40"/>
        <v>80</v>
      </c>
      <c r="I80" t="s">
        <v>207</v>
      </c>
      <c r="J80" t="s">
        <v>218</v>
      </c>
      <c r="K80" t="str">
        <f t="shared" ref="K80:K90" si="41">K82</f>
        <v>سرير دوربن فانتستيك مقاس 100 لونه القماش اسود</v>
      </c>
      <c r="L80" s="75">
        <v>4600</v>
      </c>
      <c r="N80">
        <f>IF(OR(ISBLANK(store[[#This Row],[تاريخ التسليم]]),ISBLANK(store[[#This Row],[ميعاد الطلب]])),0,store[[#This Row],[تاريخ التسليم]]-store[[#This Row],[ميعاد الطلب]])</f>
        <v>8</v>
      </c>
      <c r="O80">
        <f>IF(OR(ISBLANK(store[[#This Row],[ميعاد التسليم]]),ISBLANK(store[[#This Row],[ميعاد الطلب]])),0,store[[#This Row],[ميعاد التسليم]]-store[[#This Row],[ميعاد الطلب]])</f>
        <v>8</v>
      </c>
      <c r="P80" s="74">
        <v>45566</v>
      </c>
      <c r="Q80" s="74">
        <v>45574</v>
      </c>
      <c r="R80" s="74">
        <v>45574</v>
      </c>
      <c r="S80" t="s">
        <v>227</v>
      </c>
      <c r="T80" t="s">
        <v>191</v>
      </c>
    </row>
    <row r="81" spans="1:20" ht="20.100000000000001" customHeight="1" x14ac:dyDescent="0.25">
      <c r="A81" t="s">
        <v>210</v>
      </c>
      <c r="B81" t="s">
        <v>378</v>
      </c>
      <c r="C81" t="s">
        <v>211</v>
      </c>
      <c r="D81" t="s">
        <v>212</v>
      </c>
      <c r="E81" t="s">
        <v>161</v>
      </c>
      <c r="F81" t="s">
        <v>215</v>
      </c>
      <c r="G81" t="str">
        <f t="shared" si="40"/>
        <v xml:space="preserve">نوفال </v>
      </c>
      <c r="H81" s="76" t="str">
        <f t="shared" si="40"/>
        <v>100/140</v>
      </c>
      <c r="I81" t="s">
        <v>168</v>
      </c>
      <c r="J81" t="s">
        <v>216</v>
      </c>
      <c r="K81" t="str">
        <f t="shared" si="41"/>
        <v>سرير دوربن فانتستيك مقاس 100 لونه القماش اسود</v>
      </c>
      <c r="L81" s="75">
        <v>10000</v>
      </c>
      <c r="N81">
        <f>IF(OR(ISBLANK(store[[#This Row],[تاريخ التسليم]]),ISBLANK(store[[#This Row],[ميعاد الطلب]])),0,store[[#This Row],[تاريخ التسليم]]-store[[#This Row],[ميعاد الطلب]])</f>
        <v>8</v>
      </c>
      <c r="O81">
        <f>IF(OR(ISBLANK(store[[#This Row],[ميعاد التسليم]]),ISBLANK(store[[#This Row],[ميعاد الطلب]])),0,store[[#This Row],[ميعاد التسليم]]-store[[#This Row],[ميعاد الطلب]])</f>
        <v>8</v>
      </c>
      <c r="P81" s="74">
        <v>45566</v>
      </c>
      <c r="Q81" s="74">
        <v>45574</v>
      </c>
      <c r="R81" s="74">
        <v>45574</v>
      </c>
      <c r="S81" t="s">
        <v>227</v>
      </c>
      <c r="T81" t="s">
        <v>191</v>
      </c>
    </row>
    <row r="82" spans="1:20" ht="20.100000000000001" customHeight="1" x14ac:dyDescent="0.25">
      <c r="A82" t="s">
        <v>210</v>
      </c>
      <c r="B82" t="s">
        <v>378</v>
      </c>
      <c r="C82" t="s">
        <v>211</v>
      </c>
      <c r="D82" t="s">
        <v>212</v>
      </c>
      <c r="E82" t="s">
        <v>219</v>
      </c>
      <c r="G82" t="str">
        <f t="shared" si="40"/>
        <v>كيفنج</v>
      </c>
      <c r="H82">
        <f t="shared" si="40"/>
        <v>80</v>
      </c>
      <c r="I82" t="s">
        <v>168</v>
      </c>
      <c r="J82" t="s">
        <v>220</v>
      </c>
      <c r="K82" t="str">
        <f t="shared" si="41"/>
        <v>سرير دوربن فانتستيك مقاس 100 لونه القماش اسود</v>
      </c>
      <c r="N82">
        <f>IF(OR(ISBLANK(store[[#This Row],[تاريخ التسليم]]),ISBLANK(store[[#This Row],[ميعاد الطلب]])),0,store[[#This Row],[تاريخ التسليم]]-store[[#This Row],[ميعاد الطلب]])</f>
        <v>8</v>
      </c>
      <c r="O82">
        <f>IF(OR(ISBLANK(store[[#This Row],[ميعاد التسليم]]),ISBLANK(store[[#This Row],[ميعاد الطلب]])),0,store[[#This Row],[ميعاد التسليم]]-store[[#This Row],[ميعاد الطلب]])</f>
        <v>8</v>
      </c>
      <c r="P82" s="74">
        <v>45566</v>
      </c>
      <c r="Q82" s="74">
        <v>45574</v>
      </c>
      <c r="R82" s="74">
        <v>45574</v>
      </c>
      <c r="S82" t="s">
        <v>227</v>
      </c>
      <c r="T82" t="s">
        <v>191</v>
      </c>
    </row>
    <row r="83" spans="1:20" ht="20.100000000000001" customHeight="1" x14ac:dyDescent="0.25">
      <c r="A83" t="s">
        <v>221</v>
      </c>
      <c r="B83" t="s">
        <v>378</v>
      </c>
      <c r="C83" t="s">
        <v>385</v>
      </c>
      <c r="D83" t="s">
        <v>8</v>
      </c>
      <c r="E83" t="s">
        <v>150</v>
      </c>
      <c r="F83" t="s">
        <v>151</v>
      </c>
      <c r="G83" t="str">
        <f t="shared" si="40"/>
        <v xml:space="preserve">نوفال </v>
      </c>
      <c r="H83" s="76" t="str">
        <f t="shared" si="40"/>
        <v>100/140</v>
      </c>
      <c r="I83" t="s">
        <v>168</v>
      </c>
      <c r="J83" t="s">
        <v>168</v>
      </c>
      <c r="K83" t="str">
        <f t="shared" si="41"/>
        <v>سرير دوربن فانتستيك مقاس 100 لونه القماش اسود</v>
      </c>
      <c r="L83" s="75">
        <v>8899</v>
      </c>
      <c r="M83">
        <v>8988</v>
      </c>
      <c r="N83">
        <f>IF(OR(ISBLANK(store[[#This Row],[تاريخ التسليم]]),ISBLANK(store[[#This Row],[ميعاد الطلب]])),0,store[[#This Row],[تاريخ التسليم]]-store[[#This Row],[ميعاد الطلب]])</f>
        <v>0</v>
      </c>
      <c r="O83">
        <f>IF(OR(ISBLANK(store[[#This Row],[ميعاد التسليم]]),ISBLANK(store[[#This Row],[ميعاد الطلب]])),0,store[[#This Row],[ميعاد التسليم]]-store[[#This Row],[ميعاد الطلب]])</f>
        <v>45</v>
      </c>
      <c r="P83" s="74">
        <v>45568</v>
      </c>
      <c r="Q83" s="74">
        <v>45613</v>
      </c>
      <c r="S83" t="s">
        <v>320</v>
      </c>
      <c r="T83" t="s">
        <v>236</v>
      </c>
    </row>
    <row r="84" spans="1:20" ht="20.100000000000001" customHeight="1" x14ac:dyDescent="0.25">
      <c r="A84" t="s">
        <v>52</v>
      </c>
      <c r="B84" t="s">
        <v>379</v>
      </c>
      <c r="C84" t="s">
        <v>384</v>
      </c>
      <c r="D84" t="s">
        <v>52</v>
      </c>
      <c r="E84" t="s">
        <v>161</v>
      </c>
      <c r="F84" t="s">
        <v>206</v>
      </c>
      <c r="G84" t="str">
        <f t="shared" si="40"/>
        <v>كيفنج</v>
      </c>
      <c r="H84">
        <f t="shared" si="40"/>
        <v>80</v>
      </c>
      <c r="I84" t="s">
        <v>207</v>
      </c>
      <c r="J84" t="s">
        <v>226</v>
      </c>
      <c r="K84" t="str">
        <f t="shared" si="41"/>
        <v>سرير دوربن فانتستيك مقاس 100 لونه القماش اسود</v>
      </c>
      <c r="L84" s="75">
        <v>14550</v>
      </c>
      <c r="M84" t="s">
        <v>16</v>
      </c>
      <c r="N84">
        <f>IF(OR(ISBLANK(store[[#This Row],[تاريخ التسليم]]),ISBLANK(store[[#This Row],[ميعاد الطلب]])),0,store[[#This Row],[تاريخ التسليم]]-store[[#This Row],[ميعاد الطلب]])</f>
        <v>22</v>
      </c>
      <c r="O84">
        <f>IF(OR(ISBLANK(store[[#This Row],[ميعاد التسليم]]),ISBLANK(store[[#This Row],[ميعاد الطلب]])),0,store[[#This Row],[ميعاد التسليم]]-store[[#This Row],[ميعاد الطلب]])</f>
        <v>21</v>
      </c>
      <c r="P84" s="74">
        <v>45573</v>
      </c>
      <c r="Q84" s="74">
        <v>45594</v>
      </c>
      <c r="R84" s="74">
        <v>45595</v>
      </c>
      <c r="S84" t="s">
        <v>199</v>
      </c>
      <c r="T84" t="s">
        <v>191</v>
      </c>
    </row>
    <row r="85" spans="1:20" ht="20.100000000000001" customHeight="1" x14ac:dyDescent="0.25">
      <c r="A85" t="s">
        <v>52</v>
      </c>
      <c r="B85" t="s">
        <v>379</v>
      </c>
      <c r="C85" t="s">
        <v>384</v>
      </c>
      <c r="D85" t="s">
        <v>52</v>
      </c>
      <c r="E85" t="s">
        <v>161</v>
      </c>
      <c r="F85" t="s">
        <v>206</v>
      </c>
      <c r="G85" t="str">
        <f t="shared" si="40"/>
        <v xml:space="preserve">نوفال </v>
      </c>
      <c r="H85" s="76" t="str">
        <f t="shared" si="40"/>
        <v>100/140</v>
      </c>
      <c r="I85" t="s">
        <v>207</v>
      </c>
      <c r="J85" t="s">
        <v>226</v>
      </c>
      <c r="K85" t="str">
        <f t="shared" si="41"/>
        <v>سرير دوربن فانتستيك مقاس 100 لونه القماش اسود</v>
      </c>
      <c r="L85" s="75">
        <v>14550</v>
      </c>
      <c r="M85" t="s">
        <v>16</v>
      </c>
      <c r="N85">
        <f>IF(OR(ISBLANK(store[[#This Row],[تاريخ التسليم]]),ISBLANK(store[[#This Row],[ميعاد الطلب]])),0,store[[#This Row],[تاريخ التسليم]]-store[[#This Row],[ميعاد الطلب]])</f>
        <v>8</v>
      </c>
      <c r="O85">
        <f>IF(OR(ISBLANK(store[[#This Row],[ميعاد التسليم]]),ISBLANK(store[[#This Row],[ميعاد الطلب]])),0,store[[#This Row],[ميعاد التسليم]]-store[[#This Row],[ميعاد الطلب]])</f>
        <v>22</v>
      </c>
      <c r="P85" s="74">
        <v>45572</v>
      </c>
      <c r="Q85" s="74">
        <v>45594</v>
      </c>
      <c r="R85" s="74">
        <v>45580</v>
      </c>
      <c r="S85" t="s">
        <v>199</v>
      </c>
      <c r="T85" t="s">
        <v>191</v>
      </c>
    </row>
    <row r="86" spans="1:20" ht="20.100000000000001" customHeight="1" x14ac:dyDescent="0.25">
      <c r="A86" t="s">
        <v>52</v>
      </c>
      <c r="B86" t="s">
        <v>379</v>
      </c>
      <c r="C86" t="s">
        <v>384</v>
      </c>
      <c r="D86" t="s">
        <v>52</v>
      </c>
      <c r="E86" t="s">
        <v>161</v>
      </c>
      <c r="F86" t="s">
        <v>206</v>
      </c>
      <c r="G86" t="str">
        <f t="shared" si="40"/>
        <v>كيفنج</v>
      </c>
      <c r="H86">
        <f t="shared" si="40"/>
        <v>80</v>
      </c>
      <c r="I86" t="s">
        <v>207</v>
      </c>
      <c r="J86" t="s">
        <v>220</v>
      </c>
      <c r="K86" t="str">
        <f t="shared" si="41"/>
        <v>سرير دوربن فانتستيك مقاس 100 لونه القماش اسود</v>
      </c>
      <c r="L86" s="75">
        <v>14550</v>
      </c>
      <c r="M86">
        <v>11495</v>
      </c>
      <c r="N86">
        <f>IF(OR(ISBLANK(store[[#This Row],[تاريخ التسليم]]),ISBLANK(store[[#This Row],[ميعاد الطلب]])),0,store[[#This Row],[تاريخ التسليم]]-store[[#This Row],[ميعاد الطلب]])</f>
        <v>23</v>
      </c>
      <c r="O86">
        <f>IF(OR(ISBLANK(store[[#This Row],[ميعاد التسليم]]),ISBLANK(store[[#This Row],[ميعاد الطلب]])),0,store[[#This Row],[ميعاد التسليم]]-store[[#This Row],[ميعاد الطلب]])</f>
        <v>21</v>
      </c>
      <c r="P86" s="74">
        <v>45575</v>
      </c>
      <c r="Q86" s="74">
        <v>45596</v>
      </c>
      <c r="R86" s="74">
        <v>45598</v>
      </c>
      <c r="S86" t="s">
        <v>199</v>
      </c>
      <c r="T86" t="s">
        <v>191</v>
      </c>
    </row>
    <row r="87" spans="1:20" ht="20.100000000000001" customHeight="1" x14ac:dyDescent="0.25">
      <c r="A87" t="s">
        <v>231</v>
      </c>
      <c r="B87" t="s">
        <v>378</v>
      </c>
      <c r="C87" t="s">
        <v>385</v>
      </c>
      <c r="D87" t="s">
        <v>8</v>
      </c>
      <c r="E87" t="s">
        <v>150</v>
      </c>
      <c r="F87" t="s">
        <v>165</v>
      </c>
      <c r="G87" t="s">
        <v>232</v>
      </c>
      <c r="H87" s="76" t="s">
        <v>360</v>
      </c>
      <c r="I87" t="s">
        <v>234</v>
      </c>
      <c r="J87" t="str">
        <f t="shared" ref="J87:J89" si="42">J89</f>
        <v>اسود</v>
      </c>
      <c r="K87" t="str">
        <f t="shared" si="41"/>
        <v>سرير دوربن فانتستيك مقاس 100 لونه القماش اسود</v>
      </c>
      <c r="L87" s="75">
        <v>12899</v>
      </c>
      <c r="M87">
        <v>13028</v>
      </c>
      <c r="N87">
        <f>IF(OR(ISBLANK(store[[#This Row],[تاريخ التسليم]]),ISBLANK(store[[#This Row],[ميعاد الطلب]])),0,store[[#This Row],[تاريخ التسليم]]-store[[#This Row],[ميعاد الطلب]])</f>
        <v>20</v>
      </c>
      <c r="O87">
        <f>IF(OR(ISBLANK(store[[#This Row],[ميعاد التسليم]]),ISBLANK(store[[#This Row],[ميعاد الطلب]])),0,store[[#This Row],[ميعاد التسليم]]-store[[#This Row],[ميعاد الطلب]])</f>
        <v>65</v>
      </c>
      <c r="P87" s="74">
        <v>45578</v>
      </c>
      <c r="Q87" s="74">
        <v>45643</v>
      </c>
      <c r="R87" s="74">
        <v>45598</v>
      </c>
      <c r="S87" t="s">
        <v>199</v>
      </c>
      <c r="T87" t="s">
        <v>191</v>
      </c>
    </row>
    <row r="88" spans="1:20" ht="20.100000000000001" customHeight="1" x14ac:dyDescent="0.25">
      <c r="A88" t="s">
        <v>235</v>
      </c>
      <c r="B88" t="s">
        <v>378</v>
      </c>
      <c r="C88" t="s">
        <v>385</v>
      </c>
      <c r="D88" t="s">
        <v>8</v>
      </c>
      <c r="E88" t="s">
        <v>150</v>
      </c>
      <c r="F88" t="s">
        <v>165</v>
      </c>
      <c r="G88" t="s">
        <v>155</v>
      </c>
      <c r="H88">
        <v>80</v>
      </c>
      <c r="I88" t="s">
        <v>167</v>
      </c>
      <c r="J88" t="str">
        <f t="shared" si="42"/>
        <v>خشب بنى فاتح</v>
      </c>
      <c r="K88" t="str">
        <f t="shared" si="41"/>
        <v>سرير دوربن فانتستيك مقاس 100 لونه القماش اسود</v>
      </c>
      <c r="L88" s="75">
        <v>10499</v>
      </c>
      <c r="M88" t="s">
        <v>16</v>
      </c>
      <c r="N88">
        <f>IF(OR(ISBLANK(store[[#This Row],[تاريخ التسليم]]),ISBLANK(store[[#This Row],[ميعاد الطلب]])),0,store[[#This Row],[تاريخ التسليم]]-store[[#This Row],[ميعاد الطلب]])</f>
        <v>5</v>
      </c>
      <c r="O88">
        <f>IF(OR(ISBLANK(store[[#This Row],[ميعاد التسليم]]),ISBLANK(store[[#This Row],[ميعاد الطلب]])),0,store[[#This Row],[ميعاد التسليم]]-store[[#This Row],[ميعاد الطلب]])</f>
        <v>64</v>
      </c>
      <c r="P88" s="74">
        <v>45581</v>
      </c>
      <c r="Q88" s="74">
        <v>45645</v>
      </c>
      <c r="R88" s="74">
        <v>45586</v>
      </c>
      <c r="S88" t="s">
        <v>199</v>
      </c>
      <c r="T88" t="s">
        <v>191</v>
      </c>
    </row>
    <row r="89" spans="1:20" ht="20.100000000000001" customHeight="1" x14ac:dyDescent="0.25">
      <c r="A89" t="s">
        <v>237</v>
      </c>
      <c r="B89" t="s">
        <v>378</v>
      </c>
      <c r="C89" t="s">
        <v>386</v>
      </c>
      <c r="D89" t="s">
        <v>8</v>
      </c>
      <c r="E89" t="s">
        <v>150</v>
      </c>
      <c r="F89" t="s">
        <v>165</v>
      </c>
      <c r="G89" t="s">
        <v>152</v>
      </c>
      <c r="H89" s="76" t="s">
        <v>360</v>
      </c>
      <c r="I89" t="s">
        <v>234</v>
      </c>
      <c r="J89" t="str">
        <f t="shared" si="42"/>
        <v>اسود</v>
      </c>
      <c r="K89" t="str">
        <f t="shared" si="41"/>
        <v>سرير دوربن فانتستيك مقاس 100 لونه القماش اسود</v>
      </c>
      <c r="L89" s="75">
        <v>12899</v>
      </c>
      <c r="M89" t="s">
        <v>16</v>
      </c>
      <c r="N89">
        <f>IF(OR(ISBLANK(store[[#This Row],[تاريخ التسليم]]),ISBLANK(store[[#This Row],[ميعاد الطلب]])),0,store[[#This Row],[تاريخ التسليم]]-store[[#This Row],[ميعاد الطلب]])</f>
        <v>47</v>
      </c>
      <c r="O89">
        <f>IF(OR(ISBLANK(store[[#This Row],[ميعاد التسليم]]),ISBLANK(store[[#This Row],[ميعاد الطلب]])),0,store[[#This Row],[ميعاد التسليم]]-store[[#This Row],[ميعاد الطلب]])</f>
        <v>66</v>
      </c>
      <c r="P89" s="74">
        <v>45582</v>
      </c>
      <c r="Q89" s="74">
        <v>45648</v>
      </c>
      <c r="R89" s="74">
        <v>45629</v>
      </c>
      <c r="S89" t="s">
        <v>28</v>
      </c>
      <c r="T89" t="s">
        <v>191</v>
      </c>
    </row>
    <row r="90" spans="1:20" ht="20.100000000000001" customHeight="1" x14ac:dyDescent="0.25">
      <c r="A90" t="s">
        <v>240</v>
      </c>
      <c r="B90" t="s">
        <v>378</v>
      </c>
      <c r="C90" t="s">
        <v>385</v>
      </c>
      <c r="D90" t="s">
        <v>263</v>
      </c>
      <c r="E90" t="s">
        <v>150</v>
      </c>
      <c r="F90" t="s">
        <v>153</v>
      </c>
      <c r="G90" t="s">
        <v>244</v>
      </c>
      <c r="H90">
        <v>140</v>
      </c>
      <c r="I90" t="s">
        <v>220</v>
      </c>
      <c r="J90" t="s">
        <v>245</v>
      </c>
      <c r="K90" t="str">
        <f t="shared" si="41"/>
        <v>سرير دوربن فانتستيك مقاس 100 لونه القماش اسود</v>
      </c>
      <c r="L90" s="75">
        <v>5135</v>
      </c>
      <c r="M90" t="s">
        <v>16</v>
      </c>
      <c r="N90">
        <f>IF(OR(ISBLANK(store[[#This Row],[تاريخ التسليم]]),ISBLANK(store[[#This Row],[ميعاد الطلب]])),0,store[[#This Row],[تاريخ التسليم]]-store[[#This Row],[ميعاد الطلب]])</f>
        <v>25</v>
      </c>
      <c r="O90">
        <f>IF(OR(ISBLANK(store[[#This Row],[ميعاد التسليم]]),ISBLANK(store[[#This Row],[ميعاد الطلب]])),0,store[[#This Row],[ميعاد التسليم]]-store[[#This Row],[ميعاد الطلب]])</f>
        <v>28</v>
      </c>
      <c r="P90" s="74">
        <v>45585</v>
      </c>
      <c r="Q90" s="74">
        <v>45613</v>
      </c>
      <c r="R90" s="74">
        <v>45610</v>
      </c>
      <c r="S90" t="s">
        <v>199</v>
      </c>
      <c r="T90" t="s">
        <v>191</v>
      </c>
    </row>
    <row r="91" spans="1:20" ht="20.100000000000001" customHeight="1" x14ac:dyDescent="0.25">
      <c r="A91" t="s">
        <v>52</v>
      </c>
      <c r="B91" t="s">
        <v>379</v>
      </c>
      <c r="C91" t="s">
        <v>384</v>
      </c>
      <c r="D91" t="s">
        <v>52</v>
      </c>
      <c r="E91" t="s">
        <v>150</v>
      </c>
      <c r="F91" t="s">
        <v>165</v>
      </c>
      <c r="G91" t="s">
        <v>246</v>
      </c>
      <c r="H91">
        <v>100</v>
      </c>
      <c r="I91" t="s">
        <v>214</v>
      </c>
      <c r="J91" t="s">
        <v>168</v>
      </c>
      <c r="K91" t="s">
        <v>356</v>
      </c>
      <c r="L91" s="75">
        <v>12777.5</v>
      </c>
      <c r="M91" s="75">
        <v>11277.5</v>
      </c>
      <c r="N91" s="75">
        <f>IF(OR(ISBLANK(store[[#This Row],[تاريخ التسليم]]),ISBLANK(store[[#This Row],[ميعاد الطلب]])),0,store[[#This Row],[تاريخ التسليم]]-store[[#This Row],[ميعاد الطلب]])</f>
        <v>27</v>
      </c>
      <c r="O91" s="75">
        <f>IF(OR(ISBLANK(store[[#This Row],[ميعاد التسليم]]),ISBLANK(store[[#This Row],[ميعاد الطلب]])),0,store[[#This Row],[ميعاد التسليم]]-store[[#This Row],[ميعاد الطلب]])</f>
        <v>21</v>
      </c>
      <c r="P91" s="74">
        <v>45587</v>
      </c>
      <c r="Q91" s="74">
        <v>45608</v>
      </c>
      <c r="R91" s="74">
        <v>45614</v>
      </c>
      <c r="S91" t="s">
        <v>199</v>
      </c>
      <c r="T91" t="s">
        <v>191</v>
      </c>
    </row>
    <row r="92" spans="1:20" ht="20.100000000000001" customHeight="1" x14ac:dyDescent="0.25">
      <c r="A92" t="s">
        <v>52</v>
      </c>
      <c r="B92" t="s">
        <v>379</v>
      </c>
      <c r="C92" t="s">
        <v>384</v>
      </c>
      <c r="D92" t="s">
        <v>52</v>
      </c>
      <c r="E92" t="s">
        <v>150</v>
      </c>
      <c r="F92" t="s">
        <v>165</v>
      </c>
      <c r="G92" t="s">
        <v>246</v>
      </c>
      <c r="H92">
        <v>100</v>
      </c>
      <c r="I92" t="s">
        <v>214</v>
      </c>
      <c r="J92" t="s">
        <v>168</v>
      </c>
      <c r="K92" t="s">
        <v>356</v>
      </c>
      <c r="L92" s="75">
        <v>12777.5</v>
      </c>
      <c r="M92" s="75">
        <v>11277.5</v>
      </c>
      <c r="N92" s="75">
        <f>IF(OR(ISBLANK(store[[#This Row],[تاريخ التسليم]]),ISBLANK(store[[#This Row],[ميعاد الطلب]])),0,store[[#This Row],[تاريخ التسليم]]-store[[#This Row],[ميعاد الطلب]])</f>
        <v>27</v>
      </c>
      <c r="O92" s="75">
        <f>IF(OR(ISBLANK(store[[#This Row],[ميعاد التسليم]]),ISBLANK(store[[#This Row],[ميعاد الطلب]])),0,store[[#This Row],[ميعاد التسليم]]-store[[#This Row],[ميعاد الطلب]])</f>
        <v>21</v>
      </c>
      <c r="P92" s="74">
        <v>45587</v>
      </c>
      <c r="Q92" s="74">
        <v>45608</v>
      </c>
      <c r="R92" s="74">
        <v>45614</v>
      </c>
      <c r="S92" t="s">
        <v>199</v>
      </c>
      <c r="T92" t="s">
        <v>191</v>
      </c>
    </row>
    <row r="93" spans="1:20" ht="20.100000000000001" customHeight="1" x14ac:dyDescent="0.25">
      <c r="A93" t="s">
        <v>83</v>
      </c>
      <c r="B93" t="s">
        <v>379</v>
      </c>
      <c r="C93" t="s">
        <v>385</v>
      </c>
      <c r="D93" t="s">
        <v>392</v>
      </c>
      <c r="E93" t="s">
        <v>150</v>
      </c>
      <c r="F93" t="s">
        <v>165</v>
      </c>
      <c r="G93" t="s">
        <v>246</v>
      </c>
      <c r="H93">
        <v>100</v>
      </c>
      <c r="I93" t="s">
        <v>214</v>
      </c>
      <c r="J93" t="s">
        <v>168</v>
      </c>
      <c r="K93" t="s">
        <v>356</v>
      </c>
      <c r="L93" s="75">
        <v>8544.91</v>
      </c>
      <c r="M93" t="s">
        <v>85</v>
      </c>
      <c r="N93">
        <f>IF(OR(ISBLANK(store[[#This Row],[تاريخ التسليم]]),ISBLANK(store[[#This Row],[ميعاد الطلب]])),0,store[[#This Row],[تاريخ التسليم]]-store[[#This Row],[ميعاد الطلب]])</f>
        <v>0</v>
      </c>
      <c r="O93">
        <f>IF(OR(ISBLANK(store[[#This Row],[ميعاد التسليم]]),ISBLANK(store[[#This Row],[ميعاد الطلب]])),0,store[[#This Row],[ميعاد التسليم]]-store[[#This Row],[ميعاد الطلب]])</f>
        <v>0</v>
      </c>
      <c r="P93" s="74">
        <v>45587</v>
      </c>
      <c r="S93" t="s">
        <v>320</v>
      </c>
      <c r="T93" t="s">
        <v>236</v>
      </c>
    </row>
    <row r="94" spans="1:20" ht="20.100000000000001" customHeight="1" x14ac:dyDescent="0.25">
      <c r="A94" t="s">
        <v>250</v>
      </c>
      <c r="B94" t="s">
        <v>378</v>
      </c>
      <c r="C94" t="s">
        <v>384</v>
      </c>
      <c r="D94" t="s">
        <v>8</v>
      </c>
      <c r="E94" t="s">
        <v>150</v>
      </c>
      <c r="F94" t="s">
        <v>153</v>
      </c>
      <c r="G94" t="s">
        <v>177</v>
      </c>
      <c r="H94">
        <v>120</v>
      </c>
      <c r="I94" t="s">
        <v>167</v>
      </c>
      <c r="J94" t="str">
        <f t="shared" ref="J94:J101" si="43">J96</f>
        <v>بترولى</v>
      </c>
      <c r="K94" t="str">
        <f t="shared" ref="K94:K112" si="44">K96</f>
        <v xml:space="preserve">٢ كنبه سحاره بدون مخدع </v>
      </c>
      <c r="L94" s="75">
        <v>8943</v>
      </c>
      <c r="M94" s="75">
        <v>9007.01</v>
      </c>
      <c r="N94" s="75">
        <f>IF(OR(ISBLANK(store[[#This Row],[تاريخ التسليم]]),ISBLANK(store[[#This Row],[ميعاد الطلب]])),0,store[[#This Row],[تاريخ التسليم]]-store[[#This Row],[ميعاد الطلب]])</f>
        <v>28</v>
      </c>
      <c r="O94" s="75">
        <f>IF(OR(ISBLANK(store[[#This Row],[ميعاد التسليم]]),ISBLANK(store[[#This Row],[ميعاد الطلب]])),0,store[[#This Row],[ميعاد التسليم]]-store[[#This Row],[ميعاد الطلب]])</f>
        <v>24</v>
      </c>
      <c r="P94" s="74">
        <v>45586</v>
      </c>
      <c r="Q94" s="74">
        <v>45610</v>
      </c>
      <c r="R94" s="74">
        <v>45614</v>
      </c>
      <c r="S94" t="s">
        <v>199</v>
      </c>
      <c r="T94" t="s">
        <v>191</v>
      </c>
    </row>
    <row r="95" spans="1:20" ht="20.100000000000001" customHeight="1" x14ac:dyDescent="0.25">
      <c r="A95" t="s">
        <v>52</v>
      </c>
      <c r="B95" t="s">
        <v>379</v>
      </c>
      <c r="C95" t="s">
        <v>384</v>
      </c>
      <c r="D95" t="s">
        <v>52</v>
      </c>
      <c r="E95" t="s">
        <v>161</v>
      </c>
      <c r="F95" t="s">
        <v>206</v>
      </c>
      <c r="G95" t="str">
        <f t="shared" ref="G95:H95" si="45">G97</f>
        <v>كينج</v>
      </c>
      <c r="H95">
        <f t="shared" si="45"/>
        <v>90</v>
      </c>
      <c r="I95" t="s">
        <v>168</v>
      </c>
      <c r="J95" t="str">
        <f t="shared" si="43"/>
        <v xml:space="preserve">بنى غامق </v>
      </c>
      <c r="K95" t="str">
        <f t="shared" si="44"/>
        <v>غير معروف</v>
      </c>
      <c r="L95" s="75">
        <v>15516</v>
      </c>
      <c r="M95" t="s">
        <v>16</v>
      </c>
      <c r="N95">
        <f>IF(OR(ISBLANK(store[[#This Row],[تاريخ التسليم]]),ISBLANK(store[[#This Row],[ميعاد الطلب]])),0,store[[#This Row],[تاريخ التسليم]]-store[[#This Row],[ميعاد الطلب]])</f>
        <v>6</v>
      </c>
      <c r="O95">
        <f>IF(OR(ISBLANK(store[[#This Row],[ميعاد التسليم]]),ISBLANK(store[[#This Row],[ميعاد الطلب]])),0,store[[#This Row],[ميعاد التسليم]]-store[[#This Row],[ميعاد الطلب]])</f>
        <v>21</v>
      </c>
      <c r="P95" s="74">
        <v>45589</v>
      </c>
      <c r="Q95" s="74">
        <v>45610</v>
      </c>
      <c r="R95" s="74">
        <v>45595</v>
      </c>
      <c r="S95" t="s">
        <v>199</v>
      </c>
      <c r="T95" t="s">
        <v>191</v>
      </c>
    </row>
    <row r="96" spans="1:20" ht="20.100000000000001" customHeight="1" x14ac:dyDescent="0.25">
      <c r="A96" t="s">
        <v>52</v>
      </c>
      <c r="B96" t="s">
        <v>379</v>
      </c>
      <c r="C96" t="s">
        <v>384</v>
      </c>
      <c r="D96" t="s">
        <v>52</v>
      </c>
      <c r="E96" t="s">
        <v>150</v>
      </c>
      <c r="F96" t="s">
        <v>165</v>
      </c>
      <c r="G96" t="s">
        <v>154</v>
      </c>
      <c r="H96">
        <v>100</v>
      </c>
      <c r="I96" t="s">
        <v>168</v>
      </c>
      <c r="J96" t="str">
        <f t="shared" si="43"/>
        <v>بترولى</v>
      </c>
      <c r="K96" t="str">
        <f t="shared" si="44"/>
        <v xml:space="preserve">٢ كنبه سحاره بدون مخدع </v>
      </c>
      <c r="L96" s="75">
        <v>10045</v>
      </c>
      <c r="M96">
        <v>8879</v>
      </c>
      <c r="N96">
        <f>IF(OR(ISBLANK(store[[#This Row],[تاريخ التسليم]]),ISBLANK(store[[#This Row],[ميعاد الطلب]])),0,store[[#This Row],[تاريخ التسليم]]-store[[#This Row],[ميعاد الطلب]])</f>
        <v>0</v>
      </c>
      <c r="O96">
        <f>IF(OR(ISBLANK(store[[#This Row],[ميعاد التسليم]]),ISBLANK(store[[#This Row],[ميعاد الطلب]])),0,store[[#This Row],[ميعاد التسليم]]-store[[#This Row],[ميعاد الطلب]])</f>
        <v>21</v>
      </c>
      <c r="P96" s="74">
        <v>45591</v>
      </c>
      <c r="Q96" s="74">
        <v>45612</v>
      </c>
      <c r="S96" t="s">
        <v>320</v>
      </c>
      <c r="T96" t="s">
        <v>236</v>
      </c>
    </row>
    <row r="97" spans="1:20" ht="20.100000000000001" customHeight="1" x14ac:dyDescent="0.25">
      <c r="A97" t="s">
        <v>131</v>
      </c>
      <c r="B97" t="s">
        <v>378</v>
      </c>
      <c r="C97" t="s">
        <v>384</v>
      </c>
      <c r="D97" t="s">
        <v>8</v>
      </c>
      <c r="E97" t="s">
        <v>150</v>
      </c>
      <c r="F97" t="s">
        <v>165</v>
      </c>
      <c r="G97" t="s">
        <v>154</v>
      </c>
      <c r="H97">
        <v>90</v>
      </c>
      <c r="I97" t="s">
        <v>168</v>
      </c>
      <c r="J97" t="str">
        <f t="shared" si="43"/>
        <v xml:space="preserve">بنى غامق </v>
      </c>
      <c r="K97" t="str">
        <f t="shared" si="44"/>
        <v>غير معروف</v>
      </c>
      <c r="L97" s="75">
        <v>11649</v>
      </c>
      <c r="M97">
        <v>11749</v>
      </c>
      <c r="N97">
        <f>IF(OR(ISBLANK(store[[#This Row],[تاريخ التسليم]]),ISBLANK(store[[#This Row],[ميعاد الطلب]])),0,store[[#This Row],[تاريخ التسليم]]-store[[#This Row],[ميعاد الطلب]])</f>
        <v>23</v>
      </c>
      <c r="O97">
        <f>IF(OR(ISBLANK(store[[#This Row],[ميعاد التسليم]]),ISBLANK(store[[#This Row],[ميعاد الطلب]])),0,store[[#This Row],[ميعاد التسليم]]-store[[#This Row],[ميعاد الطلب]])</f>
        <v>15</v>
      </c>
      <c r="P97" s="74">
        <v>45591</v>
      </c>
      <c r="Q97" s="74">
        <v>45606</v>
      </c>
      <c r="R97" s="74">
        <v>45614</v>
      </c>
      <c r="S97" t="s">
        <v>199</v>
      </c>
      <c r="T97" t="s">
        <v>191</v>
      </c>
    </row>
    <row r="98" spans="1:20" ht="20.100000000000001" customHeight="1" x14ac:dyDescent="0.25">
      <c r="A98" t="s">
        <v>131</v>
      </c>
      <c r="B98" t="s">
        <v>378</v>
      </c>
      <c r="C98" t="s">
        <v>384</v>
      </c>
      <c r="D98" t="s">
        <v>8</v>
      </c>
      <c r="E98" t="s">
        <v>150</v>
      </c>
      <c r="F98" t="s">
        <v>165</v>
      </c>
      <c r="G98" t="s">
        <v>154</v>
      </c>
      <c r="H98">
        <v>90</v>
      </c>
      <c r="I98" t="s">
        <v>168</v>
      </c>
      <c r="J98" t="str">
        <f t="shared" si="43"/>
        <v>بترولى</v>
      </c>
      <c r="K98" t="str">
        <f t="shared" si="44"/>
        <v xml:space="preserve">٢ كنبه سحاره بدون مخدع </v>
      </c>
      <c r="L98" s="75">
        <v>11649</v>
      </c>
      <c r="M98">
        <v>11749</v>
      </c>
      <c r="N98">
        <f>IF(OR(ISBLANK(store[[#This Row],[تاريخ التسليم]]),ISBLANK(store[[#This Row],[ميعاد الطلب]])),0,store[[#This Row],[تاريخ التسليم]]-store[[#This Row],[ميعاد الطلب]])</f>
        <v>23</v>
      </c>
      <c r="O98">
        <f>IF(OR(ISBLANK(store[[#This Row],[ميعاد التسليم]]),ISBLANK(store[[#This Row],[ميعاد الطلب]])),0,store[[#This Row],[ميعاد التسليم]]-store[[#This Row],[ميعاد الطلب]])</f>
        <v>15</v>
      </c>
      <c r="P98" s="74">
        <v>45591</v>
      </c>
      <c r="Q98" s="74">
        <v>45606</v>
      </c>
      <c r="R98" s="74">
        <v>45614</v>
      </c>
      <c r="S98" t="s">
        <v>199</v>
      </c>
      <c r="T98" t="s">
        <v>191</v>
      </c>
    </row>
    <row r="99" spans="1:20" ht="20.100000000000001" customHeight="1" x14ac:dyDescent="0.25">
      <c r="A99" t="s">
        <v>253</v>
      </c>
      <c r="B99" t="s">
        <v>378</v>
      </c>
      <c r="C99" t="s">
        <v>385</v>
      </c>
      <c r="D99" t="s">
        <v>8</v>
      </c>
      <c r="E99" t="s">
        <v>150</v>
      </c>
      <c r="F99" t="s">
        <v>153</v>
      </c>
      <c r="G99" t="s">
        <v>156</v>
      </c>
      <c r="H99">
        <v>100</v>
      </c>
      <c r="I99" t="s">
        <v>167</v>
      </c>
      <c r="J99" t="str">
        <f t="shared" si="43"/>
        <v xml:space="preserve">بنى غامق </v>
      </c>
      <c r="K99" t="str">
        <f t="shared" si="44"/>
        <v>غير معروف</v>
      </c>
      <c r="L99" s="75">
        <v>4800</v>
      </c>
      <c r="M99">
        <v>4800</v>
      </c>
      <c r="N99">
        <f>IF(OR(ISBLANK(store[[#This Row],[تاريخ التسليم]]),ISBLANK(store[[#This Row],[ميعاد الطلب]])),0,store[[#This Row],[تاريخ التسليم]]-store[[#This Row],[ميعاد الطلب]])</f>
        <v>24</v>
      </c>
      <c r="O99">
        <f>IF(OR(ISBLANK(store[[#This Row],[ميعاد التسليم]]),ISBLANK(store[[#This Row],[ميعاد الطلب]])),0,store[[#This Row],[ميعاد التسليم]]-store[[#This Row],[ميعاد الطلب]])</f>
        <v>14</v>
      </c>
      <c r="P99" s="74">
        <v>45593</v>
      </c>
      <c r="Q99" s="74">
        <v>45607</v>
      </c>
      <c r="R99" s="74">
        <v>45617</v>
      </c>
      <c r="S99" t="s">
        <v>199</v>
      </c>
      <c r="T99" t="s">
        <v>191</v>
      </c>
    </row>
    <row r="100" spans="1:20" ht="20.100000000000001" customHeight="1" x14ac:dyDescent="0.25">
      <c r="A100" t="s">
        <v>253</v>
      </c>
      <c r="B100" t="s">
        <v>378</v>
      </c>
      <c r="C100" t="s">
        <v>385</v>
      </c>
      <c r="D100" t="s">
        <v>8</v>
      </c>
      <c r="E100" t="s">
        <v>150</v>
      </c>
      <c r="F100" t="s">
        <v>153</v>
      </c>
      <c r="G100" t="s">
        <v>156</v>
      </c>
      <c r="H100">
        <v>120</v>
      </c>
      <c r="I100" t="s">
        <v>167</v>
      </c>
      <c r="J100" t="str">
        <f t="shared" si="43"/>
        <v>بترولى</v>
      </c>
      <c r="K100" t="str">
        <f t="shared" si="44"/>
        <v xml:space="preserve">٢ كنبه سحاره بدون مخدع </v>
      </c>
      <c r="L100" s="75">
        <v>5000</v>
      </c>
      <c r="M100">
        <v>4800</v>
      </c>
      <c r="N100">
        <f>IF(OR(ISBLANK(store[[#This Row],[تاريخ التسليم]]),ISBLANK(store[[#This Row],[ميعاد الطلب]])),0,store[[#This Row],[تاريخ التسليم]]-store[[#This Row],[ميعاد الطلب]])</f>
        <v>24</v>
      </c>
      <c r="O100">
        <f>IF(OR(ISBLANK(store[[#This Row],[ميعاد التسليم]]),ISBLANK(store[[#This Row],[ميعاد الطلب]])),0,store[[#This Row],[ميعاد التسليم]]-store[[#This Row],[ميعاد الطلب]])</f>
        <v>14</v>
      </c>
      <c r="P100" s="74">
        <v>45593</v>
      </c>
      <c r="Q100" s="74">
        <v>45607</v>
      </c>
      <c r="R100" s="74">
        <v>45617</v>
      </c>
      <c r="S100" t="s">
        <v>199</v>
      </c>
      <c r="T100" t="s">
        <v>191</v>
      </c>
    </row>
    <row r="101" spans="1:20" ht="20.100000000000001" customHeight="1" x14ac:dyDescent="0.25">
      <c r="A101" t="s">
        <v>351</v>
      </c>
      <c r="B101" t="s">
        <v>378</v>
      </c>
      <c r="C101" t="s">
        <v>385</v>
      </c>
      <c r="D101" t="s">
        <v>8</v>
      </c>
      <c r="E101" t="s">
        <v>150</v>
      </c>
      <c r="F101" t="s">
        <v>165</v>
      </c>
      <c r="G101" t="s">
        <v>155</v>
      </c>
      <c r="H101">
        <v>80</v>
      </c>
      <c r="I101" t="s">
        <v>167</v>
      </c>
      <c r="J101" t="str">
        <f t="shared" si="43"/>
        <v xml:space="preserve">بنى غامق </v>
      </c>
      <c r="K101" t="str">
        <f t="shared" si="44"/>
        <v>غير معروف</v>
      </c>
      <c r="L101" s="75">
        <v>12099</v>
      </c>
      <c r="M101" t="s">
        <v>16</v>
      </c>
      <c r="N101">
        <f>IF(OR(ISBLANK(store[[#This Row],[تاريخ التسليم]]),ISBLANK(store[[#This Row],[ميعاد الطلب]])),0,store[[#This Row],[تاريخ التسليم]]-store[[#This Row],[ميعاد الطلب]])</f>
        <v>16</v>
      </c>
      <c r="O101">
        <f>IF(OR(ISBLANK(store[[#This Row],[ميعاد التسليم]]),ISBLANK(store[[#This Row],[ميعاد الطلب]])),0,store[[#This Row],[ميعاد التسليم]]-store[[#This Row],[ميعاد الطلب]])</f>
        <v>15</v>
      </c>
      <c r="P101" s="74">
        <v>45607</v>
      </c>
      <c r="Q101" s="74">
        <v>45622</v>
      </c>
      <c r="R101" s="74">
        <v>45623</v>
      </c>
      <c r="S101" t="s">
        <v>199</v>
      </c>
      <c r="T101" t="s">
        <v>191</v>
      </c>
    </row>
    <row r="102" spans="1:20" ht="20.100000000000001" customHeight="1" x14ac:dyDescent="0.25">
      <c r="A102" t="s">
        <v>52</v>
      </c>
      <c r="B102" t="s">
        <v>379</v>
      </c>
      <c r="C102" t="s">
        <v>384</v>
      </c>
      <c r="D102" t="s">
        <v>52</v>
      </c>
      <c r="E102" t="s">
        <v>161</v>
      </c>
      <c r="F102" t="s">
        <v>206</v>
      </c>
      <c r="G102" t="s">
        <v>258</v>
      </c>
      <c r="H102">
        <f>H104</f>
        <v>90</v>
      </c>
      <c r="I102" t="s">
        <v>207</v>
      </c>
      <c r="J102" t="s">
        <v>259</v>
      </c>
      <c r="K102" t="str">
        <f t="shared" si="44"/>
        <v xml:space="preserve">٢ كنبه سحاره بدون مخدع </v>
      </c>
      <c r="L102" s="75">
        <v>15872</v>
      </c>
      <c r="M102" t="s">
        <v>16</v>
      </c>
      <c r="N102">
        <f>IF(OR(ISBLANK(store[[#This Row],[تاريخ التسليم]]),ISBLANK(store[[#This Row],[ميعاد الطلب]])),0,store[[#This Row],[تاريخ التسليم]]-store[[#This Row],[ميعاد الطلب]])</f>
        <v>6</v>
      </c>
      <c r="O102">
        <f>IF(OR(ISBLANK(store[[#This Row],[ميعاد التسليم]]),ISBLANK(store[[#This Row],[ميعاد الطلب]])),0,store[[#This Row],[ميعاد التسليم]]-store[[#This Row],[ميعاد الطلب]])</f>
        <v>25</v>
      </c>
      <c r="P102" s="74">
        <v>45604</v>
      </c>
      <c r="Q102" s="74">
        <f t="shared" ref="Q102" si="46">DATE(2024,12,3)</f>
        <v>45629</v>
      </c>
      <c r="R102" s="74">
        <v>45610</v>
      </c>
      <c r="S102" t="s">
        <v>199</v>
      </c>
      <c r="T102" t="s">
        <v>191</v>
      </c>
    </row>
    <row r="103" spans="1:20" ht="20.100000000000001" customHeight="1" x14ac:dyDescent="0.25">
      <c r="A103" t="s">
        <v>263</v>
      </c>
      <c r="B103" t="s">
        <v>378</v>
      </c>
      <c r="C103" t="s">
        <v>385</v>
      </c>
      <c r="D103" t="s">
        <v>263</v>
      </c>
      <c r="E103" t="s">
        <v>150</v>
      </c>
      <c r="F103" t="s">
        <v>153</v>
      </c>
      <c r="G103" t="s">
        <v>177</v>
      </c>
      <c r="H103">
        <v>120</v>
      </c>
      <c r="I103" t="s">
        <v>167</v>
      </c>
      <c r="J103" t="str">
        <f t="shared" ref="J103:J111" si="47">J105</f>
        <v xml:space="preserve">بنى غامق </v>
      </c>
      <c r="K103" t="str">
        <f t="shared" si="44"/>
        <v>غير معروف</v>
      </c>
      <c r="L103" s="75">
        <v>4520</v>
      </c>
      <c r="M103" t="s">
        <v>85</v>
      </c>
      <c r="N103">
        <f>IF(OR(ISBLANK(store[[#This Row],[تاريخ التسليم]]),ISBLANK(store[[#This Row],[ميعاد الطلب]])),0,store[[#This Row],[تاريخ التسليم]]-store[[#This Row],[ميعاد الطلب]])</f>
        <v>11</v>
      </c>
      <c r="O103">
        <f>IF(OR(ISBLANK(store[[#This Row],[ميعاد التسليم]]),ISBLANK(store[[#This Row],[ميعاد الطلب]])),0,store[[#This Row],[ميعاد التسليم]]-store[[#This Row],[ميعاد الطلب]])</f>
        <v>12</v>
      </c>
      <c r="P103" s="74">
        <v>45606</v>
      </c>
      <c r="Q103" s="74">
        <v>45618</v>
      </c>
      <c r="R103" s="74">
        <v>45617</v>
      </c>
      <c r="S103" t="s">
        <v>199</v>
      </c>
      <c r="T103" t="s">
        <v>191</v>
      </c>
    </row>
    <row r="104" spans="1:20" ht="20.100000000000001" customHeight="1" x14ac:dyDescent="0.25">
      <c r="A104" t="s">
        <v>83</v>
      </c>
      <c r="B104" t="s">
        <v>379</v>
      </c>
      <c r="C104" t="s">
        <v>384</v>
      </c>
      <c r="D104" t="s">
        <v>392</v>
      </c>
      <c r="E104" t="s">
        <v>150</v>
      </c>
      <c r="F104" t="s">
        <v>165</v>
      </c>
      <c r="G104" t="s">
        <v>154</v>
      </c>
      <c r="H104">
        <v>90</v>
      </c>
      <c r="I104" t="s">
        <v>168</v>
      </c>
      <c r="J104" t="str">
        <f t="shared" si="47"/>
        <v>ابيض</v>
      </c>
      <c r="K104" t="str">
        <f t="shared" si="44"/>
        <v xml:space="preserve">٢ كنبه سحاره بدون مخدع </v>
      </c>
      <c r="L104" s="75">
        <v>5766</v>
      </c>
      <c r="M104" t="s">
        <v>85</v>
      </c>
      <c r="N104">
        <f>IF(OR(ISBLANK(store[[#This Row],[تاريخ التسليم]]),ISBLANK(store[[#This Row],[ميعاد الطلب]])),0,store[[#This Row],[تاريخ التسليم]]-store[[#This Row],[ميعاد الطلب]])</f>
        <v>13</v>
      </c>
      <c r="O104">
        <f>IF(OR(ISBLANK(store[[#This Row],[ميعاد التسليم]]),ISBLANK(store[[#This Row],[ميعاد الطلب]])),0,store[[#This Row],[ميعاد التسليم]]-store[[#This Row],[ميعاد الطلب]])</f>
        <v>14</v>
      </c>
      <c r="P104" s="74">
        <v>45608</v>
      </c>
      <c r="Q104" s="74">
        <v>45622</v>
      </c>
      <c r="R104" s="74">
        <v>45621</v>
      </c>
      <c r="S104" t="s">
        <v>199</v>
      </c>
      <c r="T104" t="s">
        <v>191</v>
      </c>
    </row>
    <row r="105" spans="1:20" ht="20.100000000000001" customHeight="1" x14ac:dyDescent="0.25">
      <c r="A105" t="s">
        <v>266</v>
      </c>
      <c r="B105" t="s">
        <v>378</v>
      </c>
      <c r="C105" t="s">
        <v>385</v>
      </c>
      <c r="D105" t="s">
        <v>8</v>
      </c>
      <c r="E105" t="s">
        <v>150</v>
      </c>
      <c r="F105" t="s">
        <v>153</v>
      </c>
      <c r="G105" t="s">
        <v>177</v>
      </c>
      <c r="H105">
        <v>160</v>
      </c>
      <c r="I105" t="s">
        <v>173</v>
      </c>
      <c r="J105" t="str">
        <f t="shared" si="47"/>
        <v xml:space="preserve">بنى غامق </v>
      </c>
      <c r="K105" t="str">
        <f t="shared" si="44"/>
        <v>غير معروف</v>
      </c>
      <c r="L105" s="75">
        <v>11395</v>
      </c>
      <c r="M105" t="s">
        <v>16</v>
      </c>
      <c r="N105">
        <f>IF(OR(ISBLANK(store[[#This Row],[تاريخ التسليم]]),ISBLANK(store[[#This Row],[ميعاد الطلب]])),0,store[[#This Row],[تاريخ التسليم]]-store[[#This Row],[ميعاد الطلب]])</f>
        <v>15</v>
      </c>
      <c r="O105">
        <f>IF(OR(ISBLANK(store[[#This Row],[ميعاد التسليم]]),ISBLANK(store[[#This Row],[ميعاد الطلب]])),0,store[[#This Row],[ميعاد التسليم]]-store[[#This Row],[ميعاد الطلب]])</f>
        <v>12</v>
      </c>
      <c r="P105" s="74">
        <v>45608</v>
      </c>
      <c r="Q105" s="74">
        <v>45620</v>
      </c>
      <c r="R105" s="74">
        <v>45623</v>
      </c>
      <c r="S105" t="s">
        <v>199</v>
      </c>
      <c r="T105" t="s">
        <v>191</v>
      </c>
    </row>
    <row r="106" spans="1:20" ht="20.100000000000001" customHeight="1" x14ac:dyDescent="0.25">
      <c r="A106" t="s">
        <v>267</v>
      </c>
      <c r="B106" t="s">
        <v>378</v>
      </c>
      <c r="C106" t="s">
        <v>385</v>
      </c>
      <c r="D106" t="s">
        <v>8</v>
      </c>
      <c r="E106" t="s">
        <v>150</v>
      </c>
      <c r="F106" t="s">
        <v>165</v>
      </c>
      <c r="G106" t="s">
        <v>268</v>
      </c>
      <c r="H106">
        <v>80</v>
      </c>
      <c r="I106" t="s">
        <v>167</v>
      </c>
      <c r="J106" t="str">
        <f t="shared" si="47"/>
        <v>ابيض</v>
      </c>
      <c r="K106" t="str">
        <f t="shared" si="44"/>
        <v xml:space="preserve">٢ كنبه سحاره بدون مخدع </v>
      </c>
      <c r="L106" s="75">
        <v>12919</v>
      </c>
      <c r="M106" t="s">
        <v>16</v>
      </c>
      <c r="N106">
        <f>IF(OR(ISBLANK(store[[#This Row],[تاريخ التسليم]]),ISBLANK(store[[#This Row],[ميعاد الطلب]])),0,store[[#This Row],[تاريخ التسليم]]-store[[#This Row],[ميعاد الطلب]])</f>
        <v>13</v>
      </c>
      <c r="O106">
        <f>IF(OR(ISBLANK(store[[#This Row],[ميعاد التسليم]]),ISBLANK(store[[#This Row],[ميعاد الطلب]])),0,store[[#This Row],[ميعاد التسليم]]-store[[#This Row],[ميعاد الطلب]])</f>
        <v>16</v>
      </c>
      <c r="P106" s="74">
        <v>45610</v>
      </c>
      <c r="Q106" s="74">
        <v>45626</v>
      </c>
      <c r="R106" s="74">
        <v>45623</v>
      </c>
      <c r="S106" t="s">
        <v>199</v>
      </c>
      <c r="T106" t="s">
        <v>191</v>
      </c>
    </row>
    <row r="107" spans="1:20" ht="20.100000000000001" customHeight="1" x14ac:dyDescent="0.25">
      <c r="A107" t="s">
        <v>83</v>
      </c>
      <c r="B107" t="s">
        <v>379</v>
      </c>
      <c r="C107" t="s">
        <v>384</v>
      </c>
      <c r="D107" t="s">
        <v>392</v>
      </c>
      <c r="E107" t="s">
        <v>150</v>
      </c>
      <c r="F107" t="s">
        <v>165</v>
      </c>
      <c r="G107" t="s">
        <v>152</v>
      </c>
      <c r="H107">
        <v>120</v>
      </c>
      <c r="I107" t="s">
        <v>172</v>
      </c>
      <c r="J107" t="str">
        <f t="shared" si="47"/>
        <v xml:space="preserve">بنى غامق </v>
      </c>
      <c r="K107" t="str">
        <f t="shared" si="44"/>
        <v>غير معروف</v>
      </c>
      <c r="L107" s="75">
        <v>6376</v>
      </c>
      <c r="M107" t="s">
        <v>85</v>
      </c>
      <c r="N107">
        <f>IF(OR(ISBLANK(store[[#This Row],[تاريخ التسليم]]),ISBLANK(store[[#This Row],[ميعاد الطلب]])),0,store[[#This Row],[تاريخ التسليم]]-store[[#This Row],[ميعاد الطلب]])</f>
        <v>11</v>
      </c>
      <c r="O107">
        <f>IF(OR(ISBLANK(store[[#This Row],[ميعاد التسليم]]),ISBLANK(store[[#This Row],[ميعاد الطلب]])),0,store[[#This Row],[ميعاد التسليم]]-store[[#This Row],[ميعاد الطلب]])</f>
        <v>13</v>
      </c>
      <c r="P107" s="74">
        <v>45610</v>
      </c>
      <c r="Q107" s="74">
        <v>45623</v>
      </c>
      <c r="R107" s="74">
        <v>45621</v>
      </c>
      <c r="S107" t="s">
        <v>199</v>
      </c>
      <c r="T107" t="s">
        <v>191</v>
      </c>
    </row>
    <row r="108" spans="1:20" ht="20.100000000000001" customHeight="1" x14ac:dyDescent="0.25">
      <c r="A108" t="s">
        <v>83</v>
      </c>
      <c r="B108" t="s">
        <v>379</v>
      </c>
      <c r="C108" t="s">
        <v>385</v>
      </c>
      <c r="D108" t="s">
        <v>392</v>
      </c>
      <c r="E108" t="s">
        <v>150</v>
      </c>
      <c r="F108" t="s">
        <v>273</v>
      </c>
      <c r="G108" t="s">
        <v>152</v>
      </c>
      <c r="H108">
        <v>90</v>
      </c>
      <c r="I108" t="s">
        <v>168</v>
      </c>
      <c r="J108" t="str">
        <f t="shared" si="47"/>
        <v>ابيض</v>
      </c>
      <c r="K108" t="str">
        <f t="shared" si="44"/>
        <v xml:space="preserve">٢ كنبه سحاره بدون مخدع </v>
      </c>
      <c r="L108" s="75">
        <v>5294</v>
      </c>
      <c r="M108" t="s">
        <v>85</v>
      </c>
      <c r="N108">
        <f>IF(OR(ISBLANK(store[[#This Row],[تاريخ التسليم]]),ISBLANK(store[[#This Row],[ميعاد الطلب]])),0,store[[#This Row],[تاريخ التسليم]]-store[[#This Row],[ميعاد الطلب]])</f>
        <v>11</v>
      </c>
      <c r="O108">
        <f>IF(OR(ISBLANK(store[[#This Row],[ميعاد التسليم]]),ISBLANK(store[[#This Row],[ميعاد الطلب]])),0,store[[#This Row],[ميعاد التسليم]]-store[[#This Row],[ميعاد الطلب]])</f>
        <v>13</v>
      </c>
      <c r="P108" s="74">
        <v>45610</v>
      </c>
      <c r="Q108" s="74">
        <v>45623</v>
      </c>
      <c r="R108" s="74">
        <v>45621</v>
      </c>
      <c r="S108" t="s">
        <v>199</v>
      </c>
      <c r="T108" t="s">
        <v>191</v>
      </c>
    </row>
    <row r="109" spans="1:20" ht="20.100000000000001" customHeight="1" x14ac:dyDescent="0.25">
      <c r="A109" t="s">
        <v>352</v>
      </c>
      <c r="B109" t="s">
        <v>378</v>
      </c>
      <c r="C109" t="s">
        <v>384</v>
      </c>
      <c r="D109" t="s">
        <v>393</v>
      </c>
      <c r="E109" t="s">
        <v>150</v>
      </c>
      <c r="F109" t="s">
        <v>273</v>
      </c>
      <c r="G109" t="s">
        <v>277</v>
      </c>
      <c r="H109">
        <v>80</v>
      </c>
      <c r="I109" t="s">
        <v>167</v>
      </c>
      <c r="J109" t="str">
        <f t="shared" si="47"/>
        <v xml:space="preserve">بنى غامق </v>
      </c>
      <c r="K109" t="str">
        <f t="shared" si="44"/>
        <v>غير معروف</v>
      </c>
      <c r="L109" s="75">
        <v>7396</v>
      </c>
      <c r="M109" t="s">
        <v>16</v>
      </c>
      <c r="N109">
        <f>IF(OR(ISBLANK(store[[#This Row],[تاريخ التسليم]]),ISBLANK(store[[#This Row],[ميعاد الطلب]])),0,store[[#This Row],[تاريخ التسليم]]-store[[#This Row],[ميعاد الطلب]])</f>
        <v>9</v>
      </c>
      <c r="O109">
        <f>IF(OR(ISBLANK(store[[#This Row],[ميعاد التسليم]]),ISBLANK(store[[#This Row],[ميعاد الطلب]])),0,store[[#This Row],[ميعاد التسليم]]-store[[#This Row],[ميعاد الطلب]])</f>
        <v>11</v>
      </c>
      <c r="P109" s="74">
        <v>45613</v>
      </c>
      <c r="Q109" s="74">
        <v>45624</v>
      </c>
      <c r="R109" s="74">
        <v>45622</v>
      </c>
      <c r="S109" t="s">
        <v>199</v>
      </c>
      <c r="T109" t="s">
        <v>191</v>
      </c>
    </row>
    <row r="110" spans="1:20" ht="20.100000000000001" customHeight="1" x14ac:dyDescent="0.25">
      <c r="A110" t="s">
        <v>131</v>
      </c>
      <c r="B110" t="s">
        <v>378</v>
      </c>
      <c r="C110" t="s">
        <v>384</v>
      </c>
      <c r="D110" t="s">
        <v>8</v>
      </c>
      <c r="E110" t="s">
        <v>150</v>
      </c>
      <c r="F110" t="s">
        <v>165</v>
      </c>
      <c r="G110" t="s">
        <v>154</v>
      </c>
      <c r="H110">
        <v>90</v>
      </c>
      <c r="I110" t="s">
        <v>168</v>
      </c>
      <c r="J110" t="str">
        <f t="shared" si="47"/>
        <v>ابيض</v>
      </c>
      <c r="K110" t="str">
        <f t="shared" si="44"/>
        <v xml:space="preserve">٢ كنبه سحاره بدون مخدع </v>
      </c>
      <c r="L110" s="75">
        <v>13439</v>
      </c>
      <c r="M110">
        <v>13575</v>
      </c>
      <c r="N110">
        <f>IF(OR(ISBLANK(store[[#This Row],[تاريخ التسليم]]),ISBLANK(store[[#This Row],[ميعاد الطلب]])),0,store[[#This Row],[تاريخ التسليم]]-store[[#This Row],[ميعاد الطلب]])</f>
        <v>6</v>
      </c>
      <c r="O110">
        <f>IF(OR(ISBLANK(store[[#This Row],[ميعاد التسليم]]),ISBLANK(store[[#This Row],[ميعاد الطلب]])),0,store[[#This Row],[ميعاد التسليم]]-store[[#This Row],[ميعاد الطلب]])</f>
        <v>15</v>
      </c>
      <c r="P110" s="74">
        <v>45616</v>
      </c>
      <c r="Q110" s="74">
        <v>45631</v>
      </c>
      <c r="R110" s="74">
        <v>45622</v>
      </c>
      <c r="S110" t="s">
        <v>199</v>
      </c>
      <c r="T110" t="s">
        <v>191</v>
      </c>
    </row>
    <row r="111" spans="1:20" ht="20.100000000000001" customHeight="1" x14ac:dyDescent="0.25">
      <c r="A111" t="s">
        <v>43</v>
      </c>
      <c r="B111" t="s">
        <v>379</v>
      </c>
      <c r="C111" t="s">
        <v>385</v>
      </c>
      <c r="D111" t="s">
        <v>43</v>
      </c>
      <c r="E111" t="s">
        <v>150</v>
      </c>
      <c r="F111" t="s">
        <v>279</v>
      </c>
      <c r="G111" t="s">
        <v>280</v>
      </c>
      <c r="H111">
        <v>160</v>
      </c>
      <c r="I111" t="s">
        <v>168</v>
      </c>
      <c r="J111" t="str">
        <f t="shared" si="47"/>
        <v xml:space="preserve">بنى غامق </v>
      </c>
      <c r="K111" t="str">
        <f t="shared" si="44"/>
        <v>غير معروف</v>
      </c>
      <c r="L111" s="75">
        <v>5100</v>
      </c>
      <c r="M111" t="s">
        <v>85</v>
      </c>
      <c r="N111">
        <f>IF(OR(ISBLANK(store[[#This Row],[تاريخ التسليم]]),ISBLANK(store[[#This Row],[ميعاد الطلب]])),0,store[[#This Row],[تاريخ التسليم]]-store[[#This Row],[ميعاد الطلب]])</f>
        <v>0</v>
      </c>
      <c r="O111">
        <f>IF(OR(ISBLANK(store[[#This Row],[ميعاد التسليم]]),ISBLANK(store[[#This Row],[ميعاد الطلب]])),0,store[[#This Row],[ميعاد التسليم]]-store[[#This Row],[ميعاد الطلب]])</f>
        <v>24</v>
      </c>
      <c r="P111" s="74">
        <v>45610</v>
      </c>
      <c r="Q111" s="74">
        <v>45634</v>
      </c>
      <c r="S111" t="s">
        <v>320</v>
      </c>
      <c r="T111" t="s">
        <v>236</v>
      </c>
    </row>
    <row r="112" spans="1:20" ht="20.100000000000001" customHeight="1" x14ac:dyDescent="0.25">
      <c r="A112" t="s">
        <v>281</v>
      </c>
      <c r="B112" t="s">
        <v>378</v>
      </c>
      <c r="C112" t="s">
        <v>385</v>
      </c>
      <c r="D112" t="s">
        <v>35</v>
      </c>
      <c r="E112" t="s">
        <v>150</v>
      </c>
      <c r="F112" t="s">
        <v>153</v>
      </c>
      <c r="G112" t="s">
        <v>283</v>
      </c>
      <c r="H112">
        <v>160</v>
      </c>
      <c r="I112" t="s">
        <v>176</v>
      </c>
      <c r="J112" t="s">
        <v>167</v>
      </c>
      <c r="K112" t="str">
        <f t="shared" si="44"/>
        <v xml:space="preserve">٢ كنبه سحاره بدون مخدع </v>
      </c>
      <c r="L112" s="75">
        <v>5700</v>
      </c>
      <c r="M112">
        <v>5800</v>
      </c>
      <c r="N112">
        <f>IF(OR(ISBLANK(store[[#This Row],[تاريخ التسليم]]),ISBLANK(store[[#This Row],[ميعاد الطلب]])),0,store[[#This Row],[تاريخ التسليم]]-store[[#This Row],[ميعاد الطلب]])</f>
        <v>5</v>
      </c>
      <c r="O112">
        <f>IF(OR(ISBLANK(store[[#This Row],[ميعاد التسليم]]),ISBLANK(store[[#This Row],[ميعاد الطلب]])),0,store[[#This Row],[ميعاد التسليم]]-store[[#This Row],[ميعاد الطلب]])</f>
        <v>10</v>
      </c>
      <c r="P112" s="74">
        <v>45618</v>
      </c>
      <c r="Q112" s="74">
        <v>45628</v>
      </c>
      <c r="R112" s="74">
        <v>45623</v>
      </c>
      <c r="S112" t="s">
        <v>199</v>
      </c>
      <c r="T112" t="s">
        <v>191</v>
      </c>
    </row>
    <row r="113" spans="1:20" ht="20.100000000000001" customHeight="1" x14ac:dyDescent="0.25">
      <c r="A113" t="s">
        <v>353</v>
      </c>
      <c r="B113" t="s">
        <v>378</v>
      </c>
      <c r="C113" t="s">
        <v>385</v>
      </c>
      <c r="D113" t="s">
        <v>8</v>
      </c>
      <c r="E113" t="s">
        <v>150</v>
      </c>
      <c r="F113" t="s">
        <v>279</v>
      </c>
      <c r="G113" t="s">
        <v>287</v>
      </c>
      <c r="H113">
        <v>120</v>
      </c>
      <c r="I113" t="s">
        <v>172</v>
      </c>
      <c r="J113" t="str">
        <f t="shared" ref="J113:K113" si="48">J115</f>
        <v xml:space="preserve">بنى غامق </v>
      </c>
      <c r="K113" t="str">
        <f t="shared" si="48"/>
        <v>غير معروف</v>
      </c>
      <c r="L113" s="75">
        <v>10885</v>
      </c>
      <c r="M113">
        <v>7965</v>
      </c>
      <c r="N113">
        <f>IF(OR(ISBLANK(store[[#This Row],[تاريخ التسليم]]),ISBLANK(store[[#This Row],[ميعاد الطلب]])),0,store[[#This Row],[تاريخ التسليم]]-store[[#This Row],[ميعاد الطلب]])</f>
        <v>16</v>
      </c>
      <c r="O113">
        <f>IF(OR(ISBLANK(store[[#This Row],[ميعاد التسليم]]),ISBLANK(store[[#This Row],[ميعاد الطلب]])),0,store[[#This Row],[ميعاد التسليم]]-store[[#This Row],[ميعاد الطلب]])</f>
        <v>11</v>
      </c>
      <c r="P113" s="74">
        <v>45620</v>
      </c>
      <c r="Q113" s="74">
        <v>45631</v>
      </c>
      <c r="R113" s="74">
        <v>45636</v>
      </c>
      <c r="S113" t="s">
        <v>199</v>
      </c>
      <c r="T113" t="s">
        <v>191</v>
      </c>
    </row>
    <row r="114" spans="1:20" ht="20.100000000000001" customHeight="1" x14ac:dyDescent="0.25">
      <c r="A114" t="s">
        <v>43</v>
      </c>
      <c r="B114" t="s">
        <v>379</v>
      </c>
      <c r="C114" t="s">
        <v>385</v>
      </c>
      <c r="D114" t="s">
        <v>43</v>
      </c>
      <c r="E114" t="s">
        <v>161</v>
      </c>
      <c r="F114" t="s">
        <v>159</v>
      </c>
      <c r="G114" t="str">
        <f>G116</f>
        <v>ميكانزم</v>
      </c>
      <c r="H114">
        <f t="shared" ref="H114:H116" si="49">H116</f>
        <v>90</v>
      </c>
      <c r="I114" t="str">
        <f t="shared" ref="I114:J115" si="50">I116</f>
        <v>ابيض</v>
      </c>
      <c r="J114" t="str">
        <f t="shared" si="50"/>
        <v>ابيض في بنى غامق</v>
      </c>
      <c r="K114" t="s">
        <v>47</v>
      </c>
      <c r="L114" s="75">
        <v>6000</v>
      </c>
      <c r="M114">
        <v>6000</v>
      </c>
      <c r="N114">
        <f>IF(OR(ISBLANK(store[[#This Row],[تاريخ التسليم]]),ISBLANK(store[[#This Row],[ميعاد الطلب]])),0,store[[#This Row],[تاريخ التسليم]]-store[[#This Row],[ميعاد الطلب]])</f>
        <v>1</v>
      </c>
      <c r="O114">
        <f>IF(OR(ISBLANK(store[[#This Row],[ميعاد التسليم]]),ISBLANK(store[[#This Row],[ميعاد الطلب]])),0,store[[#This Row],[ميعاد التسليم]]-store[[#This Row],[ميعاد الطلب]])</f>
        <v>16</v>
      </c>
      <c r="P114" s="74">
        <v>45615</v>
      </c>
      <c r="Q114" s="74">
        <v>45631</v>
      </c>
      <c r="R114" s="74">
        <v>45616</v>
      </c>
      <c r="S114" t="s">
        <v>289</v>
      </c>
      <c r="T114" t="s">
        <v>191</v>
      </c>
    </row>
    <row r="115" spans="1:20" ht="20.100000000000001" customHeight="1" x14ac:dyDescent="0.25">
      <c r="A115" t="s">
        <v>290</v>
      </c>
      <c r="B115" t="s">
        <v>378</v>
      </c>
      <c r="C115" t="s">
        <v>386</v>
      </c>
      <c r="D115" t="s">
        <v>8</v>
      </c>
      <c r="E115" t="s">
        <v>292</v>
      </c>
      <c r="G115" t="s">
        <v>293</v>
      </c>
      <c r="H115">
        <f t="shared" si="49"/>
        <v>100</v>
      </c>
      <c r="I115" t="str">
        <f t="shared" si="50"/>
        <v>اسود</v>
      </c>
      <c r="J115" t="str">
        <f t="shared" si="50"/>
        <v xml:space="preserve">بنى غامق </v>
      </c>
      <c r="K115" t="s">
        <v>320</v>
      </c>
      <c r="L115" s="75">
        <v>8449</v>
      </c>
      <c r="M115" t="s">
        <v>16</v>
      </c>
      <c r="N115">
        <f>IF(OR(ISBLANK(store[[#This Row],[تاريخ التسليم]]),ISBLANK(store[[#This Row],[ميعاد الطلب]])),0,store[[#This Row],[تاريخ التسليم]]-store[[#This Row],[ميعاد الطلب]])</f>
        <v>26</v>
      </c>
      <c r="O115">
        <f>IF(OR(ISBLANK(store[[#This Row],[ميعاد التسليم]]),ISBLANK(store[[#This Row],[ميعاد الطلب]])),0,store[[#This Row],[ميعاد التسليم]]-store[[#This Row],[ميعاد الطلب]])</f>
        <v>13</v>
      </c>
      <c r="P115" s="74">
        <v>45623</v>
      </c>
      <c r="Q115" s="74">
        <v>45636</v>
      </c>
      <c r="R115" s="74">
        <v>45649</v>
      </c>
      <c r="S115" t="s">
        <v>28</v>
      </c>
      <c r="T115" t="s">
        <v>191</v>
      </c>
    </row>
    <row r="116" spans="1:20" ht="20.100000000000001" customHeight="1" x14ac:dyDescent="0.25">
      <c r="A116" t="s">
        <v>294</v>
      </c>
      <c r="B116" t="s">
        <v>378</v>
      </c>
      <c r="C116" t="s">
        <v>385</v>
      </c>
      <c r="D116" t="s">
        <v>8</v>
      </c>
      <c r="E116" t="s">
        <v>292</v>
      </c>
      <c r="F116" t="s">
        <v>295</v>
      </c>
      <c r="G116" t="s">
        <v>296</v>
      </c>
      <c r="H116">
        <f t="shared" si="49"/>
        <v>90</v>
      </c>
      <c r="I116" t="s">
        <v>167</v>
      </c>
      <c r="J116" t="s">
        <v>297</v>
      </c>
      <c r="K116" t="s">
        <v>320</v>
      </c>
      <c r="L116" s="75">
        <v>10249</v>
      </c>
      <c r="M116">
        <v>6211</v>
      </c>
      <c r="N116">
        <f>IF(OR(ISBLANK(store[[#This Row],[تاريخ التسليم]]),ISBLANK(store[[#This Row],[ميعاد الطلب]])),0,store[[#This Row],[تاريخ التسليم]]-store[[#This Row],[ميعاد الطلب]])</f>
        <v>22</v>
      </c>
      <c r="O116">
        <f>IF(OR(ISBLANK(store[[#This Row],[ميعاد التسليم]]),ISBLANK(store[[#This Row],[ميعاد الطلب]])),0,store[[#This Row],[ميعاد التسليم]]-store[[#This Row],[ميعاد الطلب]])</f>
        <v>13</v>
      </c>
      <c r="P116" s="74">
        <v>45623</v>
      </c>
      <c r="Q116" s="74">
        <v>45636</v>
      </c>
      <c r="R116" s="74">
        <v>45645</v>
      </c>
      <c r="S116" t="s">
        <v>199</v>
      </c>
      <c r="T116" t="s">
        <v>191</v>
      </c>
    </row>
    <row r="117" spans="1:20" ht="20.100000000000001" customHeight="1" x14ac:dyDescent="0.25">
      <c r="A117" t="s">
        <v>298</v>
      </c>
      <c r="B117" t="s">
        <v>378</v>
      </c>
      <c r="C117" t="s">
        <v>386</v>
      </c>
      <c r="D117" t="s">
        <v>8</v>
      </c>
      <c r="E117" t="s">
        <v>150</v>
      </c>
      <c r="F117" t="s">
        <v>165</v>
      </c>
      <c r="G117" t="s">
        <v>155</v>
      </c>
      <c r="H117">
        <v>100</v>
      </c>
      <c r="I117" t="s">
        <v>168</v>
      </c>
      <c r="J117" t="str">
        <f>J119</f>
        <v xml:space="preserve">بنى غامق </v>
      </c>
      <c r="K117" t="s">
        <v>320</v>
      </c>
      <c r="L117" s="75">
        <v>14905</v>
      </c>
      <c r="M117" t="s">
        <v>16</v>
      </c>
      <c r="N117">
        <f>IF(OR(ISBLANK(store[[#This Row],[تاريخ التسليم]]),ISBLANK(store[[#This Row],[ميعاد الطلب]])),0,store[[#This Row],[تاريخ التسليم]]-store[[#This Row],[ميعاد الطلب]])</f>
        <v>0</v>
      </c>
      <c r="O117">
        <f>IF(OR(ISBLANK(store[[#This Row],[ميعاد التسليم]]),ISBLANK(store[[#This Row],[ميعاد الطلب]])),0,store[[#This Row],[ميعاد التسليم]]-store[[#This Row],[ميعاد الطلب]])</f>
        <v>16</v>
      </c>
      <c r="P117" s="74">
        <v>45625</v>
      </c>
      <c r="Q117" s="74">
        <v>45641</v>
      </c>
      <c r="S117" t="s">
        <v>319</v>
      </c>
      <c r="T117" t="s">
        <v>236</v>
      </c>
    </row>
    <row r="118" spans="1:20" ht="20.100000000000001" customHeight="1" x14ac:dyDescent="0.25">
      <c r="A118" t="s">
        <v>303</v>
      </c>
      <c r="B118" t="s">
        <v>378</v>
      </c>
      <c r="C118" t="s">
        <v>385</v>
      </c>
      <c r="D118" t="s">
        <v>8</v>
      </c>
      <c r="E118" t="s">
        <v>292</v>
      </c>
      <c r="F118" t="s">
        <v>295</v>
      </c>
      <c r="G118" t="s">
        <v>296</v>
      </c>
      <c r="H118">
        <f>H120</f>
        <v>90</v>
      </c>
      <c r="I118" t="s">
        <v>207</v>
      </c>
      <c r="J118" t="s">
        <v>302</v>
      </c>
      <c r="K118" t="s">
        <v>320</v>
      </c>
      <c r="L118" s="75">
        <v>10249</v>
      </c>
      <c r="M118" t="s">
        <v>16</v>
      </c>
      <c r="N118">
        <f>IF(OR(ISBLANK(store[[#This Row],[تاريخ التسليم]]),ISBLANK(store[[#This Row],[ميعاد الطلب]])),0,store[[#This Row],[تاريخ التسليم]]-store[[#This Row],[ميعاد الطلب]])</f>
        <v>0</v>
      </c>
      <c r="O118">
        <f>IF(OR(ISBLANK(store[[#This Row],[ميعاد التسليم]]),ISBLANK(store[[#This Row],[ميعاد الطلب]])),0,store[[#This Row],[ميعاد التسليم]]-store[[#This Row],[ميعاد الطلب]])</f>
        <v>12</v>
      </c>
      <c r="P118" s="74">
        <v>45626</v>
      </c>
      <c r="Q118" s="74">
        <v>45638</v>
      </c>
      <c r="S118" t="s">
        <v>320</v>
      </c>
      <c r="T118" t="s">
        <v>236</v>
      </c>
    </row>
    <row r="119" spans="1:20" ht="20.100000000000001" customHeight="1" x14ac:dyDescent="0.25">
      <c r="A119" t="s">
        <v>303</v>
      </c>
      <c r="B119" t="s">
        <v>378</v>
      </c>
      <c r="C119" t="s">
        <v>385</v>
      </c>
      <c r="D119" t="s">
        <v>8</v>
      </c>
      <c r="E119" t="s">
        <v>292</v>
      </c>
      <c r="F119" t="s">
        <v>189</v>
      </c>
      <c r="G119" t="str">
        <f t="shared" ref="G119:H120" si="51">G121</f>
        <v>نوفال</v>
      </c>
      <c r="H119">
        <f t="shared" si="51"/>
        <v>80</v>
      </c>
      <c r="I119" t="s">
        <v>168</v>
      </c>
      <c r="J119" t="s">
        <v>305</v>
      </c>
      <c r="K119" t="s">
        <v>320</v>
      </c>
      <c r="L119" s="75">
        <v>9029</v>
      </c>
      <c r="M119" t="s">
        <v>16</v>
      </c>
      <c r="N119">
        <f>IF(OR(ISBLANK(store[[#This Row],[تاريخ التسليم]]),ISBLANK(store[[#This Row],[ميعاد الطلب]])),0,store[[#This Row],[تاريخ التسليم]]-store[[#This Row],[ميعاد الطلب]])</f>
        <v>0</v>
      </c>
      <c r="O119">
        <f>IF(OR(ISBLANK(store[[#This Row],[ميعاد التسليم]]),ISBLANK(store[[#This Row],[ميعاد الطلب]])),0,store[[#This Row],[ميعاد التسليم]]-store[[#This Row],[ميعاد الطلب]])</f>
        <v>12</v>
      </c>
      <c r="P119" s="74">
        <v>45626</v>
      </c>
      <c r="Q119" s="74">
        <v>45638</v>
      </c>
      <c r="S119" t="s">
        <v>320</v>
      </c>
      <c r="T119" t="s">
        <v>236</v>
      </c>
    </row>
    <row r="120" spans="1:20" ht="20.100000000000001" customHeight="1" x14ac:dyDescent="0.25">
      <c r="A120" t="s">
        <v>306</v>
      </c>
      <c r="B120" t="s">
        <v>378</v>
      </c>
      <c r="C120" t="s">
        <v>387</v>
      </c>
      <c r="D120" t="s">
        <v>8</v>
      </c>
      <c r="E120" t="s">
        <v>292</v>
      </c>
      <c r="F120" t="s">
        <v>187</v>
      </c>
      <c r="G120" t="str">
        <f t="shared" si="51"/>
        <v xml:space="preserve">كيفنج </v>
      </c>
      <c r="H120">
        <f t="shared" si="51"/>
        <v>90</v>
      </c>
      <c r="I120" t="s">
        <v>207</v>
      </c>
      <c r="J120" t="s">
        <v>308</v>
      </c>
      <c r="K120" t="s">
        <v>320</v>
      </c>
      <c r="L120" s="75">
        <v>9029</v>
      </c>
      <c r="M120" t="s">
        <v>16</v>
      </c>
      <c r="N120">
        <f>IF(OR(ISBLANK(store[[#This Row],[تاريخ التسليم]]),ISBLANK(store[[#This Row],[ميعاد الطلب]])),0,store[[#This Row],[تاريخ التسليم]]-store[[#This Row],[ميعاد الطلب]])</f>
        <v>0</v>
      </c>
      <c r="O120">
        <f>IF(OR(ISBLANK(store[[#This Row],[ميعاد التسليم]]),ISBLANK(store[[#This Row],[ميعاد الطلب]])),0,store[[#This Row],[ميعاد التسليم]]-store[[#This Row],[ميعاد الطلب]])</f>
        <v>12</v>
      </c>
      <c r="P120" s="74">
        <v>45626</v>
      </c>
      <c r="Q120" s="74">
        <v>45638</v>
      </c>
      <c r="S120" t="s">
        <v>320</v>
      </c>
      <c r="T120" t="s">
        <v>236</v>
      </c>
    </row>
    <row r="121" spans="1:20" ht="20.100000000000001" customHeight="1" x14ac:dyDescent="0.25">
      <c r="A121" t="s">
        <v>309</v>
      </c>
      <c r="B121" t="s">
        <v>378</v>
      </c>
      <c r="C121" t="s">
        <v>385</v>
      </c>
      <c r="D121" t="s">
        <v>8</v>
      </c>
      <c r="E121" t="s">
        <v>150</v>
      </c>
      <c r="F121" t="s">
        <v>273</v>
      </c>
      <c r="G121" t="s">
        <v>152</v>
      </c>
      <c r="H121">
        <v>80</v>
      </c>
      <c r="I121" t="s">
        <v>167</v>
      </c>
      <c r="J121" t="str">
        <f t="shared" ref="J121:J122" si="52">J123</f>
        <v>اسود</v>
      </c>
      <c r="K121" t="s">
        <v>320</v>
      </c>
      <c r="L121" s="75">
        <v>12099</v>
      </c>
      <c r="M121" t="s">
        <v>16</v>
      </c>
      <c r="N121">
        <f>IF(OR(ISBLANK(store[[#This Row],[تاريخ التسليم]]),ISBLANK(store[[#This Row],[ميعاد الطلب]])),0,store[[#This Row],[تاريخ التسليم]]-store[[#This Row],[ميعاد الطلب]])</f>
        <v>0</v>
      </c>
      <c r="O121">
        <f>IF(OR(ISBLANK(store[[#This Row],[ميعاد التسليم]]),ISBLANK(store[[#This Row],[ميعاد الطلب]])),0,store[[#This Row],[ميعاد التسليم]]-store[[#This Row],[ميعاد الطلب]])</f>
        <v>15</v>
      </c>
      <c r="P121" s="74">
        <v>45628</v>
      </c>
      <c r="Q121" s="74">
        <v>45643</v>
      </c>
      <c r="S121" t="s">
        <v>320</v>
      </c>
      <c r="T121" t="s">
        <v>236</v>
      </c>
    </row>
    <row r="122" spans="1:20" ht="20.100000000000001" customHeight="1" x14ac:dyDescent="0.25">
      <c r="A122" t="s">
        <v>83</v>
      </c>
      <c r="B122" t="s">
        <v>379</v>
      </c>
      <c r="C122" t="s">
        <v>384</v>
      </c>
      <c r="D122" t="s">
        <v>392</v>
      </c>
      <c r="E122" t="s">
        <v>150</v>
      </c>
      <c r="F122" t="s">
        <v>273</v>
      </c>
      <c r="G122" t="s">
        <v>277</v>
      </c>
      <c r="H122">
        <v>90</v>
      </c>
      <c r="I122" t="s">
        <v>170</v>
      </c>
      <c r="J122">
        <f t="shared" si="52"/>
        <v>0</v>
      </c>
      <c r="K122" t="s">
        <v>320</v>
      </c>
      <c r="L122" s="75">
        <v>5217</v>
      </c>
      <c r="M122" t="s">
        <v>85</v>
      </c>
      <c r="N122">
        <f>IF(OR(ISBLANK(store[[#This Row],[تاريخ التسليم]]),ISBLANK(store[[#This Row],[ميعاد الطلب]])),0,store[[#This Row],[تاريخ التسليم]]-store[[#This Row],[ميعاد الطلب]])</f>
        <v>9</v>
      </c>
      <c r="O122">
        <f>IF(OR(ISBLANK(store[[#This Row],[ميعاد التسليم]]),ISBLANK(store[[#This Row],[ميعاد الطلب]])),0,store[[#This Row],[ميعاد التسليم]]-store[[#This Row],[ميعاد الطلب]])</f>
        <v>13</v>
      </c>
      <c r="P122" s="74">
        <v>45627</v>
      </c>
      <c r="Q122" s="74">
        <v>45640</v>
      </c>
      <c r="R122" s="74">
        <v>45636</v>
      </c>
      <c r="S122" t="s">
        <v>199</v>
      </c>
      <c r="T122" t="s">
        <v>191</v>
      </c>
    </row>
    <row r="123" spans="1:20" ht="20.100000000000001" customHeight="1" x14ac:dyDescent="0.25">
      <c r="A123" t="s">
        <v>354</v>
      </c>
      <c r="B123" t="s">
        <v>378</v>
      </c>
      <c r="C123" t="s">
        <v>385</v>
      </c>
      <c r="D123" t="s">
        <v>8</v>
      </c>
      <c r="E123" t="s">
        <v>150</v>
      </c>
      <c r="F123" t="s">
        <v>151</v>
      </c>
      <c r="G123" t="str">
        <f>G125</f>
        <v>ميكانزم</v>
      </c>
      <c r="H123">
        <f t="shared" ref="H123:H125" si="53">H125</f>
        <v>0</v>
      </c>
      <c r="I123" t="s">
        <v>168</v>
      </c>
      <c r="J123" t="s">
        <v>168</v>
      </c>
      <c r="K123" t="s">
        <v>320</v>
      </c>
      <c r="L123" s="75">
        <v>10249</v>
      </c>
      <c r="M123">
        <v>6211</v>
      </c>
      <c r="N123">
        <f>IF(OR(ISBLANK(store[[#This Row],[تاريخ التسليم]]),ISBLANK(store[[#This Row],[ميعاد الطلب]])),0,store[[#This Row],[تاريخ التسليم]]-store[[#This Row],[ميعاد الطلب]])</f>
        <v>15</v>
      </c>
      <c r="O123">
        <f>IF(OR(ISBLANK(store[[#This Row],[ميعاد التسليم]]),ISBLANK(store[[#This Row],[ميعاد الطلب]])),0,store[[#This Row],[ميعاد التسليم]]-store[[#This Row],[ميعاد الطلب]])</f>
        <v>10</v>
      </c>
      <c r="P123" s="74">
        <v>45630</v>
      </c>
      <c r="Q123" s="74">
        <v>45640</v>
      </c>
      <c r="R123" s="74">
        <v>45645</v>
      </c>
      <c r="S123" t="s">
        <v>199</v>
      </c>
      <c r="T123" t="s">
        <v>191</v>
      </c>
    </row>
    <row r="124" spans="1:20" ht="20.100000000000001" customHeight="1" x14ac:dyDescent="0.25">
      <c r="A124" t="s">
        <v>313</v>
      </c>
      <c r="B124" t="s">
        <v>378</v>
      </c>
      <c r="C124" t="s">
        <v>385</v>
      </c>
      <c r="D124" t="s">
        <v>52</v>
      </c>
      <c r="E124" t="s">
        <v>150</v>
      </c>
      <c r="F124" t="s">
        <v>165</v>
      </c>
      <c r="G124" t="s">
        <v>154</v>
      </c>
      <c r="H124">
        <f t="shared" si="53"/>
        <v>80</v>
      </c>
      <c r="I124" t="s">
        <v>168</v>
      </c>
      <c r="J124">
        <f>J126</f>
        <v>0</v>
      </c>
      <c r="K124" t="s">
        <v>320</v>
      </c>
      <c r="L124" s="75">
        <v>10445</v>
      </c>
      <c r="M124">
        <v>7707</v>
      </c>
      <c r="N124">
        <f>IF(OR(ISBLANK(store[[#This Row],[تاريخ التسليم]]),ISBLANK(store[[#This Row],[ميعاد الطلب]])),0,store[[#This Row],[تاريخ التسليم]]-store[[#This Row],[ميعاد الطلب]])</f>
        <v>3</v>
      </c>
      <c r="O124">
        <f>IF(OR(ISBLANK(store[[#This Row],[ميعاد التسليم]]),ISBLANK(store[[#This Row],[ميعاد الطلب]])),0,store[[#This Row],[ميعاد التسليم]]-store[[#This Row],[ميعاد الطلب]])</f>
        <v>22</v>
      </c>
      <c r="P124" s="74">
        <v>45635</v>
      </c>
      <c r="Q124" s="74">
        <v>45657</v>
      </c>
      <c r="R124" s="74">
        <v>45638</v>
      </c>
      <c r="S124" t="s">
        <v>199</v>
      </c>
      <c r="T124" t="s">
        <v>191</v>
      </c>
    </row>
    <row r="125" spans="1:20" ht="20.100000000000001" customHeight="1" x14ac:dyDescent="0.25">
      <c r="A125" t="s">
        <v>355</v>
      </c>
      <c r="B125" t="s">
        <v>378</v>
      </c>
      <c r="C125" t="s">
        <v>385</v>
      </c>
      <c r="D125" t="s">
        <v>8</v>
      </c>
      <c r="E125" t="s">
        <v>292</v>
      </c>
      <c r="F125" t="s">
        <v>316</v>
      </c>
      <c r="G125" t="s">
        <v>296</v>
      </c>
      <c r="H125">
        <f t="shared" si="53"/>
        <v>0</v>
      </c>
      <c r="I125" t="s">
        <v>207</v>
      </c>
      <c r="J125" t="s">
        <v>302</v>
      </c>
      <c r="K125" t="s">
        <v>320</v>
      </c>
      <c r="L125" s="75">
        <v>11199</v>
      </c>
      <c r="M125">
        <v>11257</v>
      </c>
      <c r="N125">
        <f>IF(OR(ISBLANK(store[[#This Row],[تاريخ التسليم]]),ISBLANK(store[[#This Row],[ميعاد الطلب]])),0,store[[#This Row],[تاريخ التسليم]]-store[[#This Row],[ميعاد الطلب]])</f>
        <v>7</v>
      </c>
      <c r="O125">
        <f>IF(OR(ISBLANK(store[[#This Row],[ميعاد التسليم]]),ISBLANK(store[[#This Row],[ميعاد الطلب]])),0,store[[#This Row],[ميعاد التسليم]]-store[[#This Row],[ميعاد الطلب]])</f>
        <v>12</v>
      </c>
      <c r="P125" s="74">
        <v>45638</v>
      </c>
      <c r="Q125" s="74">
        <v>45650</v>
      </c>
      <c r="R125" s="74">
        <v>45645</v>
      </c>
      <c r="S125" t="s">
        <v>199</v>
      </c>
      <c r="T125" t="s">
        <v>191</v>
      </c>
    </row>
    <row r="126" spans="1:20" ht="20.100000000000001" customHeight="1" x14ac:dyDescent="0.25">
      <c r="A126" t="s">
        <v>317</v>
      </c>
      <c r="B126" t="s">
        <v>378</v>
      </c>
      <c r="C126" t="s">
        <v>384</v>
      </c>
      <c r="D126" t="s">
        <v>8</v>
      </c>
      <c r="E126" t="s">
        <v>150</v>
      </c>
      <c r="F126" t="s">
        <v>165</v>
      </c>
      <c r="G126" t="s">
        <v>152</v>
      </c>
      <c r="H126">
        <v>80</v>
      </c>
      <c r="I126" t="s">
        <v>168</v>
      </c>
      <c r="J126">
        <f>J128</f>
        <v>0</v>
      </c>
      <c r="K126" t="s">
        <v>320</v>
      </c>
      <c r="L126" s="75">
        <v>13099</v>
      </c>
      <c r="M126">
        <v>13231</v>
      </c>
      <c r="N126">
        <f>IF(OR(ISBLANK(store[[#This Row],[تاريخ التسليم]]),ISBLANK(store[[#This Row],[ميعاد الطلب]])),0,store[[#This Row],[تاريخ التسليم]]-store[[#This Row],[ميعاد الطلب]])</f>
        <v>17</v>
      </c>
      <c r="O126">
        <f>IF(OR(ISBLANK(store[[#This Row],[ميعاد التسليم]]),ISBLANK(store[[#This Row],[ميعاد الطلب]])),0,store[[#This Row],[ميعاد التسليم]]-store[[#This Row],[ميعاد الطلب]])</f>
        <v>16</v>
      </c>
      <c r="P126" s="74">
        <v>45638</v>
      </c>
      <c r="Q126" s="74">
        <v>45654</v>
      </c>
      <c r="R126" s="74">
        <v>45655</v>
      </c>
      <c r="S126" t="s">
        <v>199</v>
      </c>
      <c r="T126" t="s">
        <v>191</v>
      </c>
    </row>
    <row r="127" spans="1:20" ht="20.100000000000001" customHeight="1" x14ac:dyDescent="0.25">
      <c r="A127" t="s">
        <v>52</v>
      </c>
      <c r="B127" t="s">
        <v>379</v>
      </c>
      <c r="C127" t="s">
        <v>384</v>
      </c>
      <c r="D127" t="s">
        <v>52</v>
      </c>
      <c r="E127" t="s">
        <v>161</v>
      </c>
      <c r="F127" t="s">
        <v>206</v>
      </c>
      <c r="G127" t="s">
        <v>258</v>
      </c>
      <c r="H127">
        <f>H129</f>
        <v>0</v>
      </c>
      <c r="I127" t="s">
        <v>207</v>
      </c>
      <c r="J127" t="s">
        <v>318</v>
      </c>
      <c r="K127" t="s">
        <v>320</v>
      </c>
      <c r="L127" s="75">
        <v>8700</v>
      </c>
      <c r="M127" t="s">
        <v>85</v>
      </c>
      <c r="N127">
        <f>IF(OR(ISBLANK(store[[#This Row],[تاريخ التسليم]]),ISBLANK(store[[#This Row],[ميعاد الطلب]])),0,store[[#This Row],[تاريخ التسليم]]-store[[#This Row],[ميعاد الطلب]])</f>
        <v>15</v>
      </c>
      <c r="O127">
        <f>IF(OR(ISBLANK(store[[#This Row],[ميعاد التسليم]]),ISBLANK(store[[#This Row],[ميعاد الطلب]])),0,store[[#This Row],[ميعاد التسليم]]-store[[#This Row],[ميعاد الطلب]])</f>
        <v>22</v>
      </c>
      <c r="P127" s="74">
        <v>45640</v>
      </c>
      <c r="Q127" s="74">
        <v>45662</v>
      </c>
      <c r="R127" s="74">
        <v>45655</v>
      </c>
      <c r="S127" t="s">
        <v>199</v>
      </c>
      <c r="T127" t="s">
        <v>191</v>
      </c>
    </row>
    <row r="128" spans="1:20"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row r="292" ht="20.100000000000001" customHeight="1" x14ac:dyDescent="0.25"/>
    <row r="293" ht="20.100000000000001" customHeight="1" x14ac:dyDescent="0.25"/>
    <row r="294" ht="20.100000000000001" customHeight="1" x14ac:dyDescent="0.25"/>
    <row r="295" ht="20.100000000000001" customHeight="1" x14ac:dyDescent="0.25"/>
    <row r="296" ht="20.100000000000001" customHeight="1" x14ac:dyDescent="0.25"/>
    <row r="297" ht="20.100000000000001" customHeight="1" x14ac:dyDescent="0.25"/>
    <row r="298" ht="20.100000000000001" customHeight="1" x14ac:dyDescent="0.25"/>
    <row r="299" ht="20.100000000000001" customHeight="1" x14ac:dyDescent="0.25"/>
    <row r="300" ht="20.100000000000001" customHeight="1" x14ac:dyDescent="0.25"/>
    <row r="301" ht="20.100000000000001" customHeight="1" x14ac:dyDescent="0.25"/>
    <row r="302" ht="20.100000000000001" customHeight="1" x14ac:dyDescent="0.25"/>
    <row r="303" ht="20.100000000000001" customHeight="1" x14ac:dyDescent="0.25"/>
    <row r="304" ht="20.100000000000001" customHeight="1" x14ac:dyDescent="0.25"/>
    <row r="305" ht="20.100000000000001" customHeight="1" x14ac:dyDescent="0.25"/>
    <row r="306" ht="20.100000000000001" customHeight="1" x14ac:dyDescent="0.25"/>
    <row r="307" ht="20.100000000000001" customHeight="1" x14ac:dyDescent="0.25"/>
    <row r="308" ht="20.100000000000001" customHeight="1" x14ac:dyDescent="0.25"/>
    <row r="309" ht="20.100000000000001" customHeight="1" x14ac:dyDescent="0.25"/>
    <row r="310" ht="20.100000000000001" customHeight="1" x14ac:dyDescent="0.25"/>
    <row r="311" ht="20.100000000000001" customHeight="1" x14ac:dyDescent="0.25"/>
    <row r="312" ht="20.100000000000001" customHeight="1" x14ac:dyDescent="0.25"/>
    <row r="313" ht="20.100000000000001" customHeight="1" x14ac:dyDescent="0.25"/>
    <row r="314" ht="20.100000000000001" customHeight="1" x14ac:dyDescent="0.25"/>
    <row r="315" ht="20.100000000000001" customHeight="1" x14ac:dyDescent="0.25"/>
    <row r="316" ht="20.100000000000001" customHeight="1" x14ac:dyDescent="0.25"/>
    <row r="317" ht="20.100000000000001" customHeight="1" x14ac:dyDescent="0.25"/>
    <row r="318" ht="20.100000000000001" customHeight="1" x14ac:dyDescent="0.25"/>
    <row r="319" ht="20.100000000000001" customHeight="1" x14ac:dyDescent="0.25"/>
    <row r="320" ht="20.100000000000001" customHeight="1" x14ac:dyDescent="0.25"/>
    <row r="321" ht="20.100000000000001" customHeight="1" x14ac:dyDescent="0.25"/>
    <row r="322" ht="20.100000000000001" customHeight="1" x14ac:dyDescent="0.25"/>
    <row r="323" ht="20.100000000000001" customHeight="1" x14ac:dyDescent="0.25"/>
    <row r="324" ht="20.100000000000001" customHeight="1" x14ac:dyDescent="0.25"/>
    <row r="325" ht="20.100000000000001" customHeight="1" x14ac:dyDescent="0.25"/>
    <row r="326" ht="20.100000000000001" customHeight="1" x14ac:dyDescent="0.25"/>
    <row r="327" ht="20.100000000000001" customHeight="1" x14ac:dyDescent="0.25"/>
    <row r="328" ht="20.100000000000001" customHeight="1" x14ac:dyDescent="0.25"/>
    <row r="329" ht="20.100000000000001" customHeight="1" x14ac:dyDescent="0.25"/>
    <row r="330" ht="20.100000000000001" customHeight="1" x14ac:dyDescent="0.25"/>
    <row r="331" ht="20.100000000000001" customHeight="1" x14ac:dyDescent="0.25"/>
    <row r="332" ht="20.100000000000001" customHeight="1" x14ac:dyDescent="0.25"/>
    <row r="333" ht="20.100000000000001" customHeight="1" x14ac:dyDescent="0.25"/>
    <row r="334" ht="20.100000000000001" customHeight="1" x14ac:dyDescent="0.25"/>
    <row r="335" ht="20.100000000000001" customHeight="1" x14ac:dyDescent="0.25"/>
    <row r="336" ht="20.100000000000001" customHeight="1" x14ac:dyDescent="0.25"/>
    <row r="337" ht="20.100000000000001" customHeight="1" x14ac:dyDescent="0.25"/>
    <row r="338" ht="20.100000000000001" customHeight="1" x14ac:dyDescent="0.25"/>
    <row r="339" ht="20.100000000000001" customHeight="1" x14ac:dyDescent="0.25"/>
    <row r="340" ht="20.100000000000001" customHeight="1" x14ac:dyDescent="0.25"/>
    <row r="341" ht="20.100000000000001" customHeight="1" x14ac:dyDescent="0.25"/>
    <row r="342" ht="20.100000000000001" customHeight="1" x14ac:dyDescent="0.25"/>
    <row r="343" ht="20.100000000000001" customHeight="1" x14ac:dyDescent="0.25"/>
    <row r="344" ht="20.100000000000001" customHeight="1" x14ac:dyDescent="0.25"/>
    <row r="345" ht="20.100000000000001" customHeight="1" x14ac:dyDescent="0.25"/>
    <row r="346" ht="20.100000000000001" customHeight="1" x14ac:dyDescent="0.25"/>
    <row r="347" ht="20.100000000000001" customHeight="1" x14ac:dyDescent="0.25"/>
    <row r="348" ht="20.100000000000001" customHeight="1" x14ac:dyDescent="0.25"/>
    <row r="349" ht="20.100000000000001" customHeight="1" x14ac:dyDescent="0.25"/>
    <row r="350" ht="20.100000000000001" customHeight="1" x14ac:dyDescent="0.25"/>
    <row r="351" ht="20.100000000000001" customHeight="1" x14ac:dyDescent="0.25"/>
    <row r="352" ht="20.100000000000001" customHeight="1" x14ac:dyDescent="0.25"/>
    <row r="353" ht="20.100000000000001" customHeight="1" x14ac:dyDescent="0.25"/>
    <row r="354" ht="20.100000000000001" customHeight="1" x14ac:dyDescent="0.25"/>
    <row r="355" ht="20.100000000000001" customHeight="1" x14ac:dyDescent="0.25"/>
    <row r="356" ht="20.100000000000001" customHeight="1" x14ac:dyDescent="0.25"/>
    <row r="357" ht="20.100000000000001" customHeight="1" x14ac:dyDescent="0.25"/>
    <row r="358" ht="20.100000000000001" customHeight="1" x14ac:dyDescent="0.25"/>
    <row r="359" ht="20.100000000000001" customHeight="1" x14ac:dyDescent="0.25"/>
    <row r="360" ht="20.100000000000001" customHeight="1" x14ac:dyDescent="0.25"/>
    <row r="361" ht="20.100000000000001" customHeight="1" x14ac:dyDescent="0.25"/>
    <row r="362" ht="20.100000000000001" customHeight="1" x14ac:dyDescent="0.25"/>
    <row r="363" ht="20.100000000000001" customHeight="1" x14ac:dyDescent="0.25"/>
    <row r="364" ht="20.100000000000001" customHeight="1" x14ac:dyDescent="0.25"/>
    <row r="365" ht="20.100000000000001" customHeight="1" x14ac:dyDescent="0.25"/>
    <row r="366" ht="20.100000000000001" customHeight="1" x14ac:dyDescent="0.25"/>
    <row r="367" ht="20.100000000000001" customHeight="1" x14ac:dyDescent="0.25"/>
    <row r="368" ht="20.100000000000001" customHeight="1" x14ac:dyDescent="0.25"/>
    <row r="369" ht="20.100000000000001" customHeight="1" x14ac:dyDescent="0.25"/>
    <row r="370" ht="20.100000000000001" customHeight="1" x14ac:dyDescent="0.25"/>
    <row r="371" ht="20.100000000000001" customHeight="1" x14ac:dyDescent="0.25"/>
    <row r="372" ht="20.100000000000001" customHeight="1" x14ac:dyDescent="0.25"/>
    <row r="373" ht="20.100000000000001" customHeight="1" x14ac:dyDescent="0.25"/>
    <row r="374" ht="20.100000000000001" customHeight="1" x14ac:dyDescent="0.25"/>
    <row r="375" ht="20.100000000000001" customHeight="1" x14ac:dyDescent="0.25"/>
    <row r="376" ht="20.100000000000001" customHeight="1" x14ac:dyDescent="0.25"/>
    <row r="377" ht="20.100000000000001" customHeight="1" x14ac:dyDescent="0.25"/>
    <row r="378" ht="20.100000000000001" customHeight="1" x14ac:dyDescent="0.25"/>
    <row r="379" ht="20.100000000000001" customHeight="1" x14ac:dyDescent="0.25"/>
    <row r="380" ht="20.100000000000001" customHeight="1" x14ac:dyDescent="0.25"/>
    <row r="381" ht="20.100000000000001" customHeight="1" x14ac:dyDescent="0.25"/>
    <row r="382" ht="20.100000000000001" customHeight="1" x14ac:dyDescent="0.25"/>
    <row r="383" ht="20.100000000000001" customHeight="1" x14ac:dyDescent="0.25"/>
    <row r="384" ht="20.100000000000001" customHeight="1" x14ac:dyDescent="0.25"/>
    <row r="385" ht="20.100000000000001" customHeight="1" x14ac:dyDescent="0.25"/>
    <row r="386" ht="20.100000000000001" customHeight="1" x14ac:dyDescent="0.25"/>
    <row r="387" ht="20.100000000000001" customHeight="1" x14ac:dyDescent="0.25"/>
    <row r="388" ht="20.100000000000001" customHeight="1" x14ac:dyDescent="0.25"/>
    <row r="389" ht="20.100000000000001" customHeight="1" x14ac:dyDescent="0.25"/>
    <row r="390" ht="20.100000000000001" customHeight="1" x14ac:dyDescent="0.25"/>
    <row r="391" ht="20.100000000000001" customHeight="1" x14ac:dyDescent="0.25"/>
    <row r="392" ht="20.100000000000001" customHeight="1" x14ac:dyDescent="0.25"/>
    <row r="393" ht="20.100000000000001" customHeight="1" x14ac:dyDescent="0.25"/>
    <row r="394" ht="20.100000000000001" customHeight="1" x14ac:dyDescent="0.25"/>
    <row r="395" ht="20.100000000000001" customHeight="1" x14ac:dyDescent="0.25"/>
    <row r="396" ht="20.100000000000001" customHeight="1" x14ac:dyDescent="0.25"/>
    <row r="397" ht="20.100000000000001" customHeight="1" x14ac:dyDescent="0.25"/>
    <row r="398" ht="20.100000000000001" customHeight="1" x14ac:dyDescent="0.25"/>
    <row r="399" ht="20.100000000000001" customHeight="1" x14ac:dyDescent="0.25"/>
    <row r="400" ht="20.100000000000001" customHeight="1" x14ac:dyDescent="0.25"/>
    <row r="401" ht="20.100000000000001" customHeight="1" x14ac:dyDescent="0.25"/>
    <row r="402" ht="20.100000000000001" customHeight="1" x14ac:dyDescent="0.25"/>
    <row r="403" ht="20.100000000000001" customHeight="1" x14ac:dyDescent="0.25"/>
    <row r="404" ht="20.100000000000001" customHeight="1" x14ac:dyDescent="0.25"/>
    <row r="405" ht="20.100000000000001" customHeight="1" x14ac:dyDescent="0.25"/>
    <row r="406" ht="20.100000000000001" customHeight="1" x14ac:dyDescent="0.25"/>
    <row r="407" ht="20.100000000000001" customHeight="1" x14ac:dyDescent="0.25"/>
    <row r="408" ht="20.100000000000001" customHeight="1" x14ac:dyDescent="0.25"/>
    <row r="409" ht="20.100000000000001" customHeight="1" x14ac:dyDescent="0.25"/>
    <row r="410" ht="20.100000000000001" customHeight="1" x14ac:dyDescent="0.25"/>
    <row r="411" ht="20.100000000000001" customHeight="1" x14ac:dyDescent="0.25"/>
    <row r="412" ht="20.100000000000001" customHeight="1" x14ac:dyDescent="0.25"/>
    <row r="413" ht="20.100000000000001" customHeight="1" x14ac:dyDescent="0.25"/>
    <row r="414" ht="20.100000000000001" customHeight="1" x14ac:dyDescent="0.25"/>
    <row r="415" ht="20.100000000000001" customHeight="1" x14ac:dyDescent="0.25"/>
    <row r="416" ht="20.100000000000001" customHeight="1" x14ac:dyDescent="0.25"/>
    <row r="417" ht="20.100000000000001" customHeight="1" x14ac:dyDescent="0.25"/>
    <row r="418" ht="20.100000000000001" customHeight="1" x14ac:dyDescent="0.25"/>
    <row r="419" ht="20.100000000000001" customHeight="1" x14ac:dyDescent="0.25"/>
    <row r="420" ht="20.100000000000001" customHeight="1" x14ac:dyDescent="0.25"/>
    <row r="421" ht="20.100000000000001" customHeight="1" x14ac:dyDescent="0.25"/>
    <row r="422" ht="20.100000000000001" customHeight="1" x14ac:dyDescent="0.25"/>
    <row r="423" ht="20.100000000000001" customHeight="1" x14ac:dyDescent="0.25"/>
    <row r="424" ht="20.100000000000001" customHeight="1" x14ac:dyDescent="0.25"/>
    <row r="425" ht="20.100000000000001" customHeight="1" x14ac:dyDescent="0.25"/>
    <row r="426" ht="20.100000000000001" customHeight="1" x14ac:dyDescent="0.25"/>
    <row r="427" ht="20.100000000000001" customHeight="1" x14ac:dyDescent="0.25"/>
    <row r="428" ht="20.100000000000001" customHeight="1" x14ac:dyDescent="0.25"/>
    <row r="429" ht="20.100000000000001" customHeight="1" x14ac:dyDescent="0.25"/>
    <row r="430" ht="20.100000000000001" customHeight="1" x14ac:dyDescent="0.25"/>
    <row r="431" ht="20.100000000000001" customHeight="1" x14ac:dyDescent="0.25"/>
    <row r="432" ht="20.100000000000001" customHeight="1" x14ac:dyDescent="0.25"/>
    <row r="433" ht="20.100000000000001" customHeight="1" x14ac:dyDescent="0.25"/>
    <row r="434" ht="20.100000000000001" customHeight="1" x14ac:dyDescent="0.25"/>
    <row r="435" ht="20.100000000000001" customHeight="1" x14ac:dyDescent="0.25"/>
    <row r="436" ht="20.100000000000001" customHeight="1" x14ac:dyDescent="0.25"/>
    <row r="437" ht="20.100000000000001" customHeight="1" x14ac:dyDescent="0.25"/>
    <row r="438" ht="20.100000000000001" customHeight="1" x14ac:dyDescent="0.25"/>
    <row r="439" ht="20.100000000000001" customHeight="1" x14ac:dyDescent="0.25"/>
    <row r="440" ht="20.100000000000001" customHeight="1" x14ac:dyDescent="0.25"/>
    <row r="441" ht="20.100000000000001" customHeight="1" x14ac:dyDescent="0.25"/>
    <row r="442" ht="20.100000000000001" customHeight="1" x14ac:dyDescent="0.25"/>
    <row r="443" ht="20.100000000000001" customHeight="1" x14ac:dyDescent="0.25"/>
    <row r="444" ht="20.100000000000001" customHeight="1" x14ac:dyDescent="0.25"/>
    <row r="445" ht="20.100000000000001" customHeight="1" x14ac:dyDescent="0.25"/>
    <row r="446" ht="20.100000000000001" customHeight="1" x14ac:dyDescent="0.25"/>
    <row r="447" ht="20.100000000000001" customHeight="1" x14ac:dyDescent="0.25"/>
    <row r="448" ht="20.100000000000001" customHeight="1" x14ac:dyDescent="0.25"/>
    <row r="449" ht="20.100000000000001" customHeight="1" x14ac:dyDescent="0.25"/>
    <row r="450" ht="20.100000000000001" customHeight="1" x14ac:dyDescent="0.25"/>
    <row r="451" ht="20.100000000000001" customHeight="1" x14ac:dyDescent="0.25"/>
    <row r="452" ht="20.100000000000001" customHeight="1" x14ac:dyDescent="0.25"/>
    <row r="453" ht="20.100000000000001" customHeight="1" x14ac:dyDescent="0.25"/>
    <row r="454" ht="20.100000000000001" customHeight="1" x14ac:dyDescent="0.25"/>
    <row r="455" ht="20.100000000000001" customHeight="1" x14ac:dyDescent="0.25"/>
    <row r="456" ht="20.100000000000001" customHeight="1" x14ac:dyDescent="0.25"/>
    <row r="457" ht="20.100000000000001" customHeight="1" x14ac:dyDescent="0.25"/>
    <row r="458" ht="20.100000000000001" customHeight="1" x14ac:dyDescent="0.25"/>
    <row r="459" ht="20.100000000000001" customHeight="1" x14ac:dyDescent="0.25"/>
    <row r="460" ht="20.100000000000001" customHeight="1" x14ac:dyDescent="0.25"/>
    <row r="461" ht="20.100000000000001" customHeight="1" x14ac:dyDescent="0.25"/>
    <row r="462" ht="20.100000000000001" customHeight="1" x14ac:dyDescent="0.25"/>
    <row r="463" ht="20.100000000000001" customHeight="1" x14ac:dyDescent="0.25"/>
    <row r="464" ht="20.100000000000001" customHeight="1" x14ac:dyDescent="0.25"/>
    <row r="465" ht="20.100000000000001" customHeight="1" x14ac:dyDescent="0.25"/>
    <row r="466" ht="20.100000000000001" customHeight="1" x14ac:dyDescent="0.25"/>
    <row r="467" ht="20.100000000000001" customHeight="1" x14ac:dyDescent="0.25"/>
    <row r="468" ht="20.100000000000001" customHeight="1" x14ac:dyDescent="0.25"/>
    <row r="469" ht="20.100000000000001" customHeight="1" x14ac:dyDescent="0.25"/>
    <row r="470" ht="20.100000000000001" customHeight="1" x14ac:dyDescent="0.25"/>
    <row r="471" ht="20.100000000000001" customHeight="1" x14ac:dyDescent="0.25"/>
    <row r="472" ht="20.100000000000001" customHeight="1" x14ac:dyDescent="0.25"/>
    <row r="473" ht="20.100000000000001" customHeight="1" x14ac:dyDescent="0.25"/>
    <row r="474" ht="20.100000000000001" customHeight="1" x14ac:dyDescent="0.25"/>
    <row r="475" ht="20.100000000000001" customHeight="1" x14ac:dyDescent="0.25"/>
    <row r="476" ht="20.100000000000001" customHeight="1" x14ac:dyDescent="0.25"/>
    <row r="477" ht="20.100000000000001" customHeight="1" x14ac:dyDescent="0.25"/>
    <row r="478" ht="20.100000000000001" customHeight="1" x14ac:dyDescent="0.25"/>
    <row r="479" ht="20.100000000000001" customHeight="1" x14ac:dyDescent="0.25"/>
    <row r="480" ht="20.100000000000001" customHeight="1" x14ac:dyDescent="0.25"/>
    <row r="481" ht="20.100000000000001" customHeight="1" x14ac:dyDescent="0.25"/>
    <row r="482" ht="20.100000000000001" customHeight="1" x14ac:dyDescent="0.25"/>
    <row r="483" ht="20.100000000000001" customHeight="1" x14ac:dyDescent="0.25"/>
    <row r="484" ht="20.100000000000001" customHeight="1" x14ac:dyDescent="0.25"/>
    <row r="485" ht="20.100000000000001" customHeight="1" x14ac:dyDescent="0.25"/>
    <row r="486" ht="20.100000000000001" customHeight="1" x14ac:dyDescent="0.25"/>
    <row r="487" ht="20.100000000000001" customHeight="1" x14ac:dyDescent="0.25"/>
    <row r="488" ht="20.100000000000001" customHeight="1" x14ac:dyDescent="0.25"/>
    <row r="489" ht="20.100000000000001" customHeight="1" x14ac:dyDescent="0.25"/>
    <row r="490" ht="20.100000000000001" customHeight="1" x14ac:dyDescent="0.25"/>
    <row r="491" ht="20.100000000000001" customHeight="1" x14ac:dyDescent="0.25"/>
    <row r="492" ht="20.100000000000001" customHeight="1" x14ac:dyDescent="0.25"/>
    <row r="493" ht="20.100000000000001" customHeight="1" x14ac:dyDescent="0.25"/>
    <row r="494" ht="20.100000000000001" customHeight="1" x14ac:dyDescent="0.25"/>
    <row r="495" ht="20.100000000000001" customHeight="1" x14ac:dyDescent="0.25"/>
    <row r="496" ht="20.100000000000001" customHeight="1" x14ac:dyDescent="0.25"/>
    <row r="497" ht="20.100000000000001" customHeight="1" x14ac:dyDescent="0.25"/>
    <row r="498" ht="20.100000000000001" customHeight="1" x14ac:dyDescent="0.25"/>
    <row r="499" ht="20.100000000000001" customHeight="1" x14ac:dyDescent="0.25"/>
    <row r="500" ht="20.100000000000001" customHeight="1" x14ac:dyDescent="0.25"/>
    <row r="501" ht="20.100000000000001" customHeight="1" x14ac:dyDescent="0.25"/>
    <row r="502" ht="20.100000000000001" customHeight="1" x14ac:dyDescent="0.25"/>
    <row r="503" ht="20.100000000000001" customHeight="1" x14ac:dyDescent="0.25"/>
    <row r="504" ht="20.100000000000001" customHeight="1" x14ac:dyDescent="0.25"/>
    <row r="505" ht="20.100000000000001" customHeight="1" x14ac:dyDescent="0.25"/>
    <row r="506" ht="20.100000000000001" customHeight="1" x14ac:dyDescent="0.25"/>
    <row r="507" ht="20.100000000000001" customHeight="1" x14ac:dyDescent="0.25"/>
    <row r="508" ht="20.100000000000001" customHeight="1" x14ac:dyDescent="0.25"/>
    <row r="509" ht="20.100000000000001" customHeight="1" x14ac:dyDescent="0.25"/>
    <row r="510" ht="20.100000000000001" customHeight="1" x14ac:dyDescent="0.25"/>
    <row r="511" ht="20.100000000000001" customHeight="1" x14ac:dyDescent="0.25"/>
    <row r="512" ht="20.100000000000001" customHeight="1" x14ac:dyDescent="0.25"/>
    <row r="513" ht="20.100000000000001" customHeight="1" x14ac:dyDescent="0.25"/>
    <row r="514" ht="20.100000000000001" customHeight="1" x14ac:dyDescent="0.25"/>
    <row r="515" ht="20.100000000000001" customHeight="1" x14ac:dyDescent="0.25"/>
    <row r="516" ht="20.100000000000001" customHeight="1" x14ac:dyDescent="0.25"/>
    <row r="517" ht="20.100000000000001" customHeight="1" x14ac:dyDescent="0.25"/>
    <row r="518" ht="20.100000000000001" customHeight="1" x14ac:dyDescent="0.25"/>
    <row r="519" ht="20.100000000000001" customHeight="1" x14ac:dyDescent="0.25"/>
    <row r="520" ht="20.100000000000001" customHeight="1" x14ac:dyDescent="0.25"/>
    <row r="521" ht="20.100000000000001" customHeight="1" x14ac:dyDescent="0.25"/>
    <row r="522" ht="20.100000000000001" customHeight="1" x14ac:dyDescent="0.25"/>
    <row r="523" ht="20.100000000000001" customHeight="1" x14ac:dyDescent="0.25"/>
    <row r="524" ht="20.100000000000001" customHeight="1" x14ac:dyDescent="0.25"/>
    <row r="525" ht="20.100000000000001" customHeight="1" x14ac:dyDescent="0.25"/>
    <row r="526" ht="20.100000000000001" customHeight="1" x14ac:dyDescent="0.25"/>
    <row r="527" ht="20.100000000000001" customHeight="1" x14ac:dyDescent="0.25"/>
    <row r="528" ht="20.100000000000001" customHeight="1" x14ac:dyDescent="0.25"/>
    <row r="529" ht="20.100000000000001" customHeight="1" x14ac:dyDescent="0.25"/>
    <row r="530" ht="20.100000000000001" customHeight="1" x14ac:dyDescent="0.25"/>
    <row r="531" ht="20.100000000000001" customHeight="1" x14ac:dyDescent="0.25"/>
    <row r="532" ht="20.100000000000001" customHeight="1" x14ac:dyDescent="0.25"/>
    <row r="533" ht="20.100000000000001" customHeight="1" x14ac:dyDescent="0.25"/>
    <row r="534" ht="20.100000000000001" customHeight="1" x14ac:dyDescent="0.25"/>
    <row r="535" ht="20.100000000000001" customHeight="1" x14ac:dyDescent="0.25"/>
    <row r="536" ht="20.100000000000001" customHeight="1" x14ac:dyDescent="0.25"/>
    <row r="537" ht="20.100000000000001" customHeight="1" x14ac:dyDescent="0.25"/>
    <row r="538" ht="20.100000000000001" customHeight="1" x14ac:dyDescent="0.25"/>
    <row r="539" ht="20.100000000000001" customHeight="1" x14ac:dyDescent="0.25"/>
    <row r="540" ht="20.100000000000001" customHeight="1" x14ac:dyDescent="0.25"/>
    <row r="541" ht="20.100000000000001" customHeight="1" x14ac:dyDescent="0.25"/>
    <row r="542" ht="20.100000000000001" customHeight="1" x14ac:dyDescent="0.25"/>
    <row r="543" ht="20.100000000000001" customHeight="1" x14ac:dyDescent="0.25"/>
    <row r="544" ht="20.100000000000001" customHeight="1" x14ac:dyDescent="0.25"/>
    <row r="545" ht="20.100000000000001" customHeight="1" x14ac:dyDescent="0.25"/>
    <row r="546" ht="20.100000000000001" customHeight="1" x14ac:dyDescent="0.25"/>
    <row r="547" ht="20.100000000000001" customHeight="1" x14ac:dyDescent="0.25"/>
    <row r="548" ht="20.100000000000001" customHeight="1" x14ac:dyDescent="0.25"/>
    <row r="549" ht="20.100000000000001" customHeight="1" x14ac:dyDescent="0.25"/>
    <row r="550" ht="20.100000000000001" customHeight="1" x14ac:dyDescent="0.25"/>
    <row r="551" ht="20.100000000000001" customHeight="1" x14ac:dyDescent="0.25"/>
    <row r="552" ht="20.100000000000001" customHeight="1" x14ac:dyDescent="0.25"/>
    <row r="553" ht="20.100000000000001" customHeight="1" x14ac:dyDescent="0.25"/>
    <row r="554" ht="20.100000000000001" customHeight="1" x14ac:dyDescent="0.25"/>
    <row r="555" ht="20.100000000000001" customHeight="1" x14ac:dyDescent="0.25"/>
    <row r="556" ht="20.100000000000001" customHeight="1" x14ac:dyDescent="0.25"/>
    <row r="557" ht="20.100000000000001" customHeight="1" x14ac:dyDescent="0.25"/>
    <row r="558" ht="20.100000000000001" customHeight="1" x14ac:dyDescent="0.25"/>
    <row r="559" ht="20.100000000000001" customHeight="1" x14ac:dyDescent="0.25"/>
    <row r="560" ht="20.100000000000001" customHeight="1" x14ac:dyDescent="0.25"/>
    <row r="561" ht="20.100000000000001" customHeight="1" x14ac:dyDescent="0.25"/>
    <row r="562" ht="20.100000000000001" customHeight="1" x14ac:dyDescent="0.25"/>
    <row r="563" ht="20.100000000000001" customHeight="1" x14ac:dyDescent="0.25"/>
    <row r="564" ht="20.100000000000001" customHeight="1" x14ac:dyDescent="0.25"/>
    <row r="565" ht="20.100000000000001" customHeight="1" x14ac:dyDescent="0.25"/>
    <row r="566" ht="20.100000000000001" customHeight="1" x14ac:dyDescent="0.25"/>
    <row r="567" ht="20.100000000000001" customHeight="1" x14ac:dyDescent="0.25"/>
    <row r="568" ht="20.100000000000001" customHeight="1" x14ac:dyDescent="0.25"/>
    <row r="569" ht="20.100000000000001" customHeight="1" x14ac:dyDescent="0.25"/>
    <row r="570" ht="20.100000000000001" customHeight="1" x14ac:dyDescent="0.25"/>
    <row r="571" ht="20.100000000000001" customHeight="1" x14ac:dyDescent="0.25"/>
    <row r="572" ht="20.100000000000001" customHeight="1" x14ac:dyDescent="0.25"/>
    <row r="573" ht="20.100000000000001" customHeight="1" x14ac:dyDescent="0.25"/>
    <row r="574" ht="20.100000000000001" customHeight="1" x14ac:dyDescent="0.25"/>
    <row r="575" ht="20.100000000000001" customHeight="1" x14ac:dyDescent="0.25"/>
    <row r="576" ht="20.100000000000001" customHeight="1" x14ac:dyDescent="0.25"/>
    <row r="577" ht="20.100000000000001" customHeight="1" x14ac:dyDescent="0.25"/>
    <row r="578" ht="20.100000000000001" customHeight="1" x14ac:dyDescent="0.25"/>
    <row r="579" ht="20.100000000000001" customHeight="1" x14ac:dyDescent="0.25"/>
    <row r="580" ht="20.100000000000001" customHeight="1" x14ac:dyDescent="0.25"/>
    <row r="581" ht="20.100000000000001" customHeight="1" x14ac:dyDescent="0.25"/>
    <row r="582" ht="20.100000000000001" customHeight="1" x14ac:dyDescent="0.25"/>
    <row r="583" ht="20.100000000000001" customHeight="1" x14ac:dyDescent="0.25"/>
    <row r="584" ht="20.100000000000001" customHeight="1" x14ac:dyDescent="0.25"/>
    <row r="585" ht="20.100000000000001" customHeight="1" x14ac:dyDescent="0.25"/>
    <row r="586" ht="20.100000000000001" customHeight="1" x14ac:dyDescent="0.25"/>
    <row r="587" ht="20.100000000000001" customHeight="1" x14ac:dyDescent="0.25"/>
    <row r="588" ht="20.100000000000001" customHeight="1" x14ac:dyDescent="0.25"/>
    <row r="589" ht="20.100000000000001" customHeight="1" x14ac:dyDescent="0.25"/>
    <row r="590" ht="20.100000000000001" customHeight="1" x14ac:dyDescent="0.25"/>
    <row r="591" ht="20.100000000000001" customHeight="1" x14ac:dyDescent="0.25"/>
    <row r="592" ht="20.100000000000001" customHeight="1" x14ac:dyDescent="0.25"/>
    <row r="593" ht="20.100000000000001" customHeight="1" x14ac:dyDescent="0.25"/>
    <row r="594" ht="20.100000000000001" customHeight="1" x14ac:dyDescent="0.25"/>
    <row r="595" ht="20.100000000000001" customHeight="1" x14ac:dyDescent="0.25"/>
    <row r="596" ht="20.100000000000001" customHeight="1" x14ac:dyDescent="0.25"/>
    <row r="597" ht="20.100000000000001" customHeight="1" x14ac:dyDescent="0.25"/>
    <row r="598" ht="20.100000000000001" customHeight="1" x14ac:dyDescent="0.25"/>
    <row r="599" ht="20.100000000000001" customHeight="1" x14ac:dyDescent="0.25"/>
    <row r="600" ht="20.100000000000001" customHeight="1" x14ac:dyDescent="0.25"/>
    <row r="601" ht="20.100000000000001" customHeight="1" x14ac:dyDescent="0.25"/>
    <row r="602" ht="20.100000000000001" customHeight="1" x14ac:dyDescent="0.25"/>
    <row r="603" ht="20.100000000000001" customHeight="1" x14ac:dyDescent="0.25"/>
    <row r="604" ht="20.100000000000001" customHeight="1" x14ac:dyDescent="0.25"/>
    <row r="605" ht="20.100000000000001" customHeight="1" x14ac:dyDescent="0.25"/>
    <row r="606" ht="20.100000000000001" customHeight="1" x14ac:dyDescent="0.25"/>
    <row r="607" ht="20.100000000000001" customHeight="1" x14ac:dyDescent="0.25"/>
    <row r="608" ht="20.100000000000001" customHeight="1" x14ac:dyDescent="0.25"/>
    <row r="609" ht="20.100000000000001" customHeight="1" x14ac:dyDescent="0.25"/>
    <row r="610" ht="20.100000000000001" customHeight="1" x14ac:dyDescent="0.25"/>
    <row r="611" ht="20.100000000000001" customHeight="1" x14ac:dyDescent="0.25"/>
    <row r="612" ht="20.100000000000001" customHeight="1" x14ac:dyDescent="0.25"/>
    <row r="613" ht="20.100000000000001" customHeight="1" x14ac:dyDescent="0.25"/>
    <row r="614" ht="20.100000000000001" customHeight="1" x14ac:dyDescent="0.25"/>
    <row r="615" ht="20.100000000000001" customHeight="1" x14ac:dyDescent="0.25"/>
    <row r="616" ht="20.100000000000001" customHeight="1" x14ac:dyDescent="0.25"/>
    <row r="617" ht="20.100000000000001" customHeight="1" x14ac:dyDescent="0.25"/>
    <row r="618" ht="20.100000000000001" customHeight="1" x14ac:dyDescent="0.25"/>
    <row r="619" ht="20.100000000000001" customHeight="1" x14ac:dyDescent="0.25"/>
    <row r="620" ht="20.100000000000001" customHeight="1" x14ac:dyDescent="0.25"/>
    <row r="621" ht="20.100000000000001" customHeight="1" x14ac:dyDescent="0.25"/>
    <row r="622" ht="20.100000000000001" customHeight="1" x14ac:dyDescent="0.25"/>
    <row r="623" ht="20.100000000000001" customHeight="1" x14ac:dyDescent="0.25"/>
    <row r="624" ht="20.100000000000001" customHeight="1" x14ac:dyDescent="0.25"/>
    <row r="625" ht="20.100000000000001" customHeight="1" x14ac:dyDescent="0.25"/>
    <row r="626" ht="20.100000000000001" customHeight="1" x14ac:dyDescent="0.25"/>
    <row r="627" ht="20.100000000000001" customHeight="1" x14ac:dyDescent="0.25"/>
    <row r="628" ht="20.100000000000001" customHeight="1" x14ac:dyDescent="0.25"/>
    <row r="629" ht="20.100000000000001" customHeight="1" x14ac:dyDescent="0.25"/>
    <row r="630" ht="20.100000000000001" customHeight="1" x14ac:dyDescent="0.25"/>
    <row r="631" ht="20.100000000000001" customHeight="1" x14ac:dyDescent="0.25"/>
    <row r="632" ht="20.100000000000001" customHeight="1" x14ac:dyDescent="0.25"/>
    <row r="633" ht="20.100000000000001" customHeight="1" x14ac:dyDescent="0.25"/>
    <row r="634" ht="20.100000000000001" customHeight="1" x14ac:dyDescent="0.25"/>
    <row r="635" ht="20.100000000000001" customHeight="1" x14ac:dyDescent="0.25"/>
    <row r="636" ht="20.100000000000001" customHeight="1" x14ac:dyDescent="0.25"/>
    <row r="637" ht="20.100000000000001" customHeight="1" x14ac:dyDescent="0.25"/>
    <row r="638" ht="20.100000000000001" customHeight="1" x14ac:dyDescent="0.25"/>
    <row r="639" ht="20.100000000000001" customHeight="1" x14ac:dyDescent="0.25"/>
    <row r="640" ht="20.100000000000001" customHeight="1" x14ac:dyDescent="0.25"/>
    <row r="641" ht="20.100000000000001" customHeight="1" x14ac:dyDescent="0.25"/>
    <row r="642" ht="20.100000000000001" customHeight="1" x14ac:dyDescent="0.25"/>
    <row r="643" ht="20.100000000000001" customHeight="1" x14ac:dyDescent="0.25"/>
    <row r="644" ht="20.100000000000001" customHeight="1" x14ac:dyDescent="0.25"/>
    <row r="645" ht="20.100000000000001" customHeight="1" x14ac:dyDescent="0.25"/>
    <row r="646" ht="20.100000000000001" customHeight="1" x14ac:dyDescent="0.25"/>
    <row r="647" ht="20.100000000000001" customHeight="1" x14ac:dyDescent="0.25"/>
    <row r="648" ht="20.100000000000001" customHeight="1" x14ac:dyDescent="0.25"/>
    <row r="649" ht="20.100000000000001" customHeight="1" x14ac:dyDescent="0.25"/>
    <row r="650" ht="20.100000000000001" customHeight="1" x14ac:dyDescent="0.25"/>
    <row r="651" ht="20.100000000000001" customHeight="1" x14ac:dyDescent="0.25"/>
    <row r="652" ht="20.100000000000001" customHeight="1" x14ac:dyDescent="0.25"/>
    <row r="653" ht="20.100000000000001" customHeight="1" x14ac:dyDescent="0.25"/>
    <row r="654" ht="20.100000000000001" customHeight="1" x14ac:dyDescent="0.25"/>
    <row r="655" ht="20.100000000000001" customHeight="1" x14ac:dyDescent="0.25"/>
    <row r="656" ht="20.100000000000001" customHeight="1" x14ac:dyDescent="0.25"/>
    <row r="657" ht="20.100000000000001" customHeight="1" x14ac:dyDescent="0.25"/>
    <row r="658" ht="20.100000000000001" customHeight="1" x14ac:dyDescent="0.25"/>
    <row r="659" ht="20.100000000000001" customHeight="1" x14ac:dyDescent="0.25"/>
    <row r="660" ht="20.100000000000001" customHeight="1" x14ac:dyDescent="0.25"/>
    <row r="661" ht="20.100000000000001" customHeight="1" x14ac:dyDescent="0.25"/>
    <row r="662" ht="20.100000000000001" customHeight="1" x14ac:dyDescent="0.25"/>
    <row r="663" ht="20.100000000000001" customHeight="1" x14ac:dyDescent="0.25"/>
    <row r="664" ht="20.100000000000001" customHeight="1" x14ac:dyDescent="0.25"/>
    <row r="665" ht="20.100000000000001" customHeight="1" x14ac:dyDescent="0.25"/>
    <row r="666" ht="20.100000000000001" customHeight="1" x14ac:dyDescent="0.25"/>
    <row r="667" ht="20.100000000000001" customHeight="1" x14ac:dyDescent="0.25"/>
    <row r="668" ht="20.100000000000001" customHeight="1" x14ac:dyDescent="0.25"/>
    <row r="669" ht="20.100000000000001" customHeight="1" x14ac:dyDescent="0.25"/>
    <row r="670" ht="20.100000000000001" customHeight="1" x14ac:dyDescent="0.25"/>
    <row r="671" ht="20.100000000000001" customHeight="1" x14ac:dyDescent="0.25"/>
    <row r="672" ht="20.100000000000001" customHeight="1" x14ac:dyDescent="0.25"/>
    <row r="673" ht="20.100000000000001" customHeight="1" x14ac:dyDescent="0.25"/>
    <row r="674" ht="20.100000000000001" customHeight="1" x14ac:dyDescent="0.25"/>
    <row r="675" ht="20.100000000000001" customHeight="1" x14ac:dyDescent="0.25"/>
    <row r="676" ht="20.100000000000001" customHeight="1" x14ac:dyDescent="0.25"/>
    <row r="677" ht="20.100000000000001" customHeight="1" x14ac:dyDescent="0.25"/>
    <row r="678" ht="20.100000000000001" customHeight="1" x14ac:dyDescent="0.25"/>
    <row r="679" ht="20.100000000000001" customHeight="1" x14ac:dyDescent="0.25"/>
    <row r="680" ht="20.100000000000001" customHeight="1" x14ac:dyDescent="0.25"/>
    <row r="681" ht="20.100000000000001" customHeight="1" x14ac:dyDescent="0.25"/>
    <row r="682" ht="20.100000000000001" customHeight="1" x14ac:dyDescent="0.25"/>
    <row r="683" ht="20.100000000000001" customHeight="1" x14ac:dyDescent="0.25"/>
    <row r="684" ht="20.100000000000001" customHeight="1" x14ac:dyDescent="0.25"/>
    <row r="685" ht="20.100000000000001" customHeight="1" x14ac:dyDescent="0.25"/>
    <row r="686" ht="20.100000000000001" customHeight="1" x14ac:dyDescent="0.25"/>
    <row r="687" ht="20.100000000000001" customHeight="1" x14ac:dyDescent="0.25"/>
    <row r="688" ht="20.100000000000001" customHeight="1" x14ac:dyDescent="0.25"/>
    <row r="689" ht="20.100000000000001" customHeight="1" x14ac:dyDescent="0.25"/>
    <row r="690" ht="20.100000000000001" customHeight="1" x14ac:dyDescent="0.25"/>
    <row r="691" ht="20.100000000000001" customHeight="1" x14ac:dyDescent="0.25"/>
    <row r="692" ht="20.100000000000001" customHeight="1" x14ac:dyDescent="0.25"/>
    <row r="693" ht="20.100000000000001" customHeight="1" x14ac:dyDescent="0.25"/>
    <row r="694" ht="20.100000000000001" customHeight="1" x14ac:dyDescent="0.25"/>
    <row r="695" ht="20.100000000000001" customHeight="1" x14ac:dyDescent="0.25"/>
    <row r="696" ht="20.100000000000001" customHeight="1" x14ac:dyDescent="0.25"/>
    <row r="697" ht="20.100000000000001" customHeight="1" x14ac:dyDescent="0.25"/>
    <row r="698" ht="20.100000000000001" customHeight="1" x14ac:dyDescent="0.25"/>
    <row r="699" ht="20.100000000000001" customHeight="1" x14ac:dyDescent="0.25"/>
    <row r="700" ht="20.100000000000001" customHeight="1" x14ac:dyDescent="0.25"/>
    <row r="701" ht="20.100000000000001" customHeight="1" x14ac:dyDescent="0.25"/>
    <row r="702" ht="20.100000000000001" customHeight="1" x14ac:dyDescent="0.25"/>
    <row r="703" ht="20.100000000000001" customHeight="1" x14ac:dyDescent="0.25"/>
    <row r="704" ht="20.100000000000001" customHeight="1" x14ac:dyDescent="0.25"/>
    <row r="705" ht="20.100000000000001" customHeight="1" x14ac:dyDescent="0.25"/>
    <row r="706" ht="20.100000000000001" customHeight="1" x14ac:dyDescent="0.25"/>
    <row r="707" ht="20.100000000000001" customHeight="1" x14ac:dyDescent="0.25"/>
    <row r="708" ht="20.100000000000001" customHeight="1" x14ac:dyDescent="0.25"/>
    <row r="709" ht="20.100000000000001" customHeight="1" x14ac:dyDescent="0.25"/>
    <row r="710" ht="20.100000000000001" customHeight="1" x14ac:dyDescent="0.25"/>
    <row r="711" ht="20.100000000000001" customHeight="1" x14ac:dyDescent="0.25"/>
    <row r="712" ht="20.100000000000001" customHeight="1" x14ac:dyDescent="0.25"/>
    <row r="713" ht="20.100000000000001" customHeight="1" x14ac:dyDescent="0.25"/>
    <row r="714" ht="20.100000000000001" customHeight="1" x14ac:dyDescent="0.25"/>
    <row r="715" ht="20.100000000000001" customHeight="1" x14ac:dyDescent="0.25"/>
    <row r="716" ht="20.100000000000001" customHeight="1" x14ac:dyDescent="0.25"/>
    <row r="717" ht="20.100000000000001" customHeight="1" x14ac:dyDescent="0.25"/>
    <row r="718" ht="20.100000000000001" customHeight="1" x14ac:dyDescent="0.25"/>
    <row r="719" ht="20.100000000000001" customHeight="1" x14ac:dyDescent="0.25"/>
    <row r="720" ht="20.100000000000001" customHeight="1" x14ac:dyDescent="0.25"/>
    <row r="721" ht="20.100000000000001" customHeight="1" x14ac:dyDescent="0.25"/>
    <row r="722" ht="20.100000000000001" customHeight="1" x14ac:dyDescent="0.25"/>
    <row r="723" ht="20.100000000000001" customHeight="1" x14ac:dyDescent="0.25"/>
    <row r="724" ht="20.100000000000001" customHeight="1" x14ac:dyDescent="0.25"/>
    <row r="725" ht="20.100000000000001" customHeight="1" x14ac:dyDescent="0.25"/>
    <row r="726" ht="20.100000000000001" customHeight="1" x14ac:dyDescent="0.25"/>
    <row r="727" ht="20.100000000000001" customHeight="1" x14ac:dyDescent="0.25"/>
    <row r="728" ht="20.100000000000001" customHeight="1" x14ac:dyDescent="0.25"/>
    <row r="729" ht="20.100000000000001" customHeight="1" x14ac:dyDescent="0.25"/>
    <row r="730" ht="20.100000000000001" customHeight="1" x14ac:dyDescent="0.25"/>
    <row r="731" ht="20.100000000000001" customHeight="1" x14ac:dyDescent="0.25"/>
    <row r="732" ht="20.100000000000001" customHeight="1" x14ac:dyDescent="0.25"/>
    <row r="733" ht="20.100000000000001" customHeight="1" x14ac:dyDescent="0.25"/>
    <row r="734" ht="20.100000000000001" customHeight="1" x14ac:dyDescent="0.25"/>
    <row r="735" ht="20.100000000000001" customHeight="1" x14ac:dyDescent="0.25"/>
    <row r="736" ht="20.100000000000001" customHeight="1" x14ac:dyDescent="0.25"/>
    <row r="737" ht="20.100000000000001" customHeight="1" x14ac:dyDescent="0.25"/>
    <row r="738" ht="20.100000000000001" customHeight="1" x14ac:dyDescent="0.25"/>
    <row r="739" ht="20.100000000000001" customHeight="1" x14ac:dyDescent="0.25"/>
    <row r="740" ht="20.100000000000001" customHeight="1" x14ac:dyDescent="0.25"/>
    <row r="741" ht="20.100000000000001" customHeight="1" x14ac:dyDescent="0.25"/>
    <row r="742" ht="20.100000000000001" customHeight="1" x14ac:dyDescent="0.25"/>
    <row r="743" ht="20.100000000000001" customHeight="1" x14ac:dyDescent="0.25"/>
    <row r="744" ht="20.100000000000001" customHeight="1" x14ac:dyDescent="0.25"/>
    <row r="745" ht="20.100000000000001" customHeight="1" x14ac:dyDescent="0.25"/>
    <row r="746" ht="20.100000000000001" customHeight="1" x14ac:dyDescent="0.25"/>
    <row r="747" ht="20.100000000000001" customHeight="1" x14ac:dyDescent="0.25"/>
    <row r="748" ht="20.100000000000001" customHeight="1" x14ac:dyDescent="0.25"/>
    <row r="749" ht="20.100000000000001" customHeight="1" x14ac:dyDescent="0.25"/>
    <row r="750" ht="20.100000000000001" customHeight="1" x14ac:dyDescent="0.25"/>
    <row r="751" ht="20.100000000000001" customHeight="1" x14ac:dyDescent="0.25"/>
    <row r="752" ht="20.100000000000001" customHeight="1" x14ac:dyDescent="0.25"/>
    <row r="753" ht="20.100000000000001" customHeight="1" x14ac:dyDescent="0.25"/>
    <row r="754" ht="20.100000000000001" customHeight="1" x14ac:dyDescent="0.25"/>
    <row r="755" ht="20.100000000000001" customHeight="1" x14ac:dyDescent="0.25"/>
    <row r="756" ht="20.100000000000001" customHeight="1" x14ac:dyDescent="0.25"/>
    <row r="757" ht="20.100000000000001" customHeight="1" x14ac:dyDescent="0.25"/>
    <row r="758" ht="20.100000000000001" customHeight="1" x14ac:dyDescent="0.25"/>
    <row r="759" ht="20.100000000000001" customHeight="1" x14ac:dyDescent="0.25"/>
    <row r="760" ht="20.100000000000001" customHeight="1" x14ac:dyDescent="0.25"/>
    <row r="761" ht="20.100000000000001" customHeight="1" x14ac:dyDescent="0.25"/>
    <row r="762" ht="20.100000000000001" customHeight="1" x14ac:dyDescent="0.25"/>
    <row r="763" ht="20.100000000000001" customHeight="1" x14ac:dyDescent="0.25"/>
    <row r="764" ht="20.100000000000001" customHeight="1" x14ac:dyDescent="0.25"/>
    <row r="765" ht="20.100000000000001" customHeight="1" x14ac:dyDescent="0.25"/>
    <row r="766" ht="20.100000000000001" customHeight="1" x14ac:dyDescent="0.25"/>
    <row r="767" ht="20.100000000000001" customHeight="1" x14ac:dyDescent="0.25"/>
    <row r="768" ht="20.100000000000001" customHeight="1" x14ac:dyDescent="0.25"/>
    <row r="769" ht="20.100000000000001" customHeight="1" x14ac:dyDescent="0.25"/>
    <row r="770" ht="20.100000000000001" customHeight="1" x14ac:dyDescent="0.25"/>
    <row r="771" ht="20.100000000000001" customHeight="1" x14ac:dyDescent="0.25"/>
    <row r="772" ht="20.100000000000001" customHeight="1" x14ac:dyDescent="0.25"/>
    <row r="773" ht="20.100000000000001" customHeight="1" x14ac:dyDescent="0.25"/>
    <row r="774" ht="20.100000000000001" customHeight="1" x14ac:dyDescent="0.25"/>
    <row r="775" ht="20.100000000000001" customHeight="1" x14ac:dyDescent="0.25"/>
    <row r="776" ht="20.100000000000001" customHeight="1" x14ac:dyDescent="0.25"/>
    <row r="777" ht="20.100000000000001" customHeight="1" x14ac:dyDescent="0.25"/>
    <row r="778" ht="20.100000000000001" customHeight="1" x14ac:dyDescent="0.25"/>
    <row r="779" ht="20.100000000000001" customHeight="1" x14ac:dyDescent="0.25"/>
    <row r="780" ht="20.100000000000001" customHeight="1" x14ac:dyDescent="0.25"/>
    <row r="781" ht="20.100000000000001" customHeight="1" x14ac:dyDescent="0.25"/>
    <row r="782" ht="20.100000000000001" customHeight="1" x14ac:dyDescent="0.25"/>
    <row r="783" ht="20.100000000000001" customHeight="1" x14ac:dyDescent="0.25"/>
    <row r="784" ht="20.100000000000001" customHeight="1" x14ac:dyDescent="0.25"/>
    <row r="785" ht="20.100000000000001" customHeight="1" x14ac:dyDescent="0.25"/>
    <row r="786" ht="20.100000000000001" customHeight="1" x14ac:dyDescent="0.25"/>
    <row r="787" ht="20.100000000000001" customHeight="1" x14ac:dyDescent="0.25"/>
    <row r="788" ht="20.100000000000001" customHeight="1" x14ac:dyDescent="0.25"/>
    <row r="789" ht="20.100000000000001" customHeight="1" x14ac:dyDescent="0.25"/>
    <row r="790" ht="20.100000000000001" customHeight="1" x14ac:dyDescent="0.25"/>
    <row r="791" ht="20.100000000000001" customHeight="1" x14ac:dyDescent="0.25"/>
    <row r="792" ht="20.100000000000001" customHeight="1" x14ac:dyDescent="0.25"/>
    <row r="793" ht="20.100000000000001" customHeight="1" x14ac:dyDescent="0.25"/>
    <row r="794" ht="20.100000000000001" customHeight="1" x14ac:dyDescent="0.25"/>
    <row r="795" ht="20.100000000000001" customHeight="1" x14ac:dyDescent="0.25"/>
    <row r="796" ht="20.100000000000001" customHeight="1" x14ac:dyDescent="0.25"/>
    <row r="797" ht="20.100000000000001" customHeight="1" x14ac:dyDescent="0.25"/>
    <row r="798" ht="20.100000000000001" customHeight="1" x14ac:dyDescent="0.25"/>
    <row r="799" ht="20.100000000000001" customHeight="1" x14ac:dyDescent="0.25"/>
    <row r="800" ht="20.100000000000001" customHeight="1" x14ac:dyDescent="0.25"/>
    <row r="801" ht="20.100000000000001" customHeight="1" x14ac:dyDescent="0.25"/>
    <row r="802" ht="20.100000000000001" customHeight="1" x14ac:dyDescent="0.25"/>
    <row r="803" ht="20.100000000000001" customHeight="1" x14ac:dyDescent="0.25"/>
    <row r="804" ht="20.100000000000001" customHeight="1" x14ac:dyDescent="0.25"/>
    <row r="805" ht="20.100000000000001" customHeight="1" x14ac:dyDescent="0.25"/>
    <row r="806" ht="20.100000000000001" customHeight="1" x14ac:dyDescent="0.25"/>
    <row r="807" ht="20.100000000000001" customHeight="1" x14ac:dyDescent="0.25"/>
    <row r="808" ht="20.100000000000001" customHeight="1" x14ac:dyDescent="0.25"/>
    <row r="809" ht="20.100000000000001" customHeight="1" x14ac:dyDescent="0.25"/>
    <row r="810" ht="20.100000000000001" customHeight="1" x14ac:dyDescent="0.25"/>
    <row r="811" ht="20.100000000000001" customHeight="1" x14ac:dyDescent="0.25"/>
    <row r="812" ht="20.100000000000001" customHeight="1" x14ac:dyDescent="0.25"/>
    <row r="813" ht="20.100000000000001" customHeight="1" x14ac:dyDescent="0.25"/>
    <row r="814" ht="20.100000000000001" customHeight="1" x14ac:dyDescent="0.25"/>
    <row r="815" ht="20.100000000000001" customHeight="1" x14ac:dyDescent="0.25"/>
    <row r="816" ht="20.100000000000001" customHeight="1" x14ac:dyDescent="0.25"/>
    <row r="817" ht="20.100000000000001" customHeight="1" x14ac:dyDescent="0.25"/>
    <row r="818" ht="20.100000000000001" customHeight="1" x14ac:dyDescent="0.25"/>
    <row r="819" ht="20.100000000000001" customHeight="1" x14ac:dyDescent="0.25"/>
    <row r="820" ht="20.100000000000001" customHeight="1" x14ac:dyDescent="0.25"/>
    <row r="821" ht="20.100000000000001" customHeight="1" x14ac:dyDescent="0.25"/>
    <row r="822" ht="20.100000000000001" customHeight="1" x14ac:dyDescent="0.25"/>
    <row r="823" ht="20.100000000000001" customHeight="1" x14ac:dyDescent="0.25"/>
    <row r="824" ht="20.100000000000001" customHeight="1" x14ac:dyDescent="0.25"/>
    <row r="825" ht="20.100000000000001" customHeight="1" x14ac:dyDescent="0.25"/>
    <row r="826" ht="20.100000000000001" customHeight="1" x14ac:dyDescent="0.25"/>
    <row r="827" ht="20.100000000000001" customHeight="1" x14ac:dyDescent="0.25"/>
    <row r="828" ht="20.100000000000001" customHeight="1" x14ac:dyDescent="0.25"/>
    <row r="829" ht="20.100000000000001" customHeight="1" x14ac:dyDescent="0.25"/>
    <row r="830" ht="20.100000000000001" customHeight="1" x14ac:dyDescent="0.25"/>
    <row r="831" ht="20.100000000000001" customHeight="1" x14ac:dyDescent="0.25"/>
    <row r="832" ht="20.100000000000001" customHeight="1" x14ac:dyDescent="0.25"/>
    <row r="833" ht="20.100000000000001" customHeight="1" x14ac:dyDescent="0.25"/>
    <row r="834" ht="20.100000000000001" customHeight="1" x14ac:dyDescent="0.25"/>
    <row r="835" ht="20.100000000000001" customHeight="1" x14ac:dyDescent="0.25"/>
    <row r="836" ht="20.100000000000001" customHeight="1" x14ac:dyDescent="0.25"/>
    <row r="837" ht="20.100000000000001" customHeight="1" x14ac:dyDescent="0.25"/>
    <row r="838" ht="20.100000000000001" customHeight="1" x14ac:dyDescent="0.25"/>
    <row r="839" ht="20.100000000000001" customHeight="1" x14ac:dyDescent="0.25"/>
    <row r="840" ht="20.100000000000001" customHeight="1" x14ac:dyDescent="0.25"/>
    <row r="841" ht="20.100000000000001" customHeight="1" x14ac:dyDescent="0.25"/>
    <row r="842" ht="20.100000000000001" customHeight="1" x14ac:dyDescent="0.25"/>
    <row r="843" ht="20.100000000000001" customHeight="1" x14ac:dyDescent="0.25"/>
    <row r="844" ht="20.100000000000001" customHeight="1" x14ac:dyDescent="0.25"/>
    <row r="845" ht="20.100000000000001" customHeight="1" x14ac:dyDescent="0.25"/>
    <row r="846" ht="20.100000000000001" customHeight="1" x14ac:dyDescent="0.25"/>
    <row r="847" ht="20.100000000000001" customHeight="1" x14ac:dyDescent="0.25"/>
    <row r="848" ht="20.100000000000001" customHeight="1" x14ac:dyDescent="0.25"/>
    <row r="849" ht="20.100000000000001" customHeight="1" x14ac:dyDescent="0.25"/>
    <row r="850" ht="20.100000000000001" customHeight="1" x14ac:dyDescent="0.25"/>
    <row r="851" ht="20.100000000000001" customHeight="1" x14ac:dyDescent="0.25"/>
    <row r="852" ht="20.100000000000001" customHeight="1" x14ac:dyDescent="0.25"/>
    <row r="853" ht="20.100000000000001" customHeight="1" x14ac:dyDescent="0.25"/>
    <row r="854" ht="20.100000000000001" customHeight="1" x14ac:dyDescent="0.25"/>
    <row r="855" ht="20.100000000000001" customHeight="1" x14ac:dyDescent="0.25"/>
    <row r="856" ht="20.100000000000001" customHeight="1" x14ac:dyDescent="0.25"/>
    <row r="857" ht="20.100000000000001" customHeight="1" x14ac:dyDescent="0.25"/>
    <row r="858" ht="20.100000000000001" customHeight="1" x14ac:dyDescent="0.25"/>
    <row r="859" ht="20.100000000000001" customHeight="1" x14ac:dyDescent="0.25"/>
    <row r="860" ht="20.100000000000001" customHeight="1" x14ac:dyDescent="0.25"/>
    <row r="861" ht="20.100000000000001" customHeight="1" x14ac:dyDescent="0.25"/>
    <row r="862" ht="20.100000000000001" customHeight="1" x14ac:dyDescent="0.25"/>
    <row r="863" ht="20.100000000000001" customHeight="1" x14ac:dyDescent="0.25"/>
    <row r="864" ht="20.100000000000001" customHeight="1" x14ac:dyDescent="0.25"/>
    <row r="865" ht="20.100000000000001" customHeight="1" x14ac:dyDescent="0.25"/>
    <row r="866" ht="20.100000000000001" customHeight="1" x14ac:dyDescent="0.25"/>
    <row r="867" ht="20.100000000000001" customHeight="1" x14ac:dyDescent="0.25"/>
    <row r="868" ht="20.100000000000001" customHeight="1" x14ac:dyDescent="0.25"/>
    <row r="869" ht="20.100000000000001" customHeight="1" x14ac:dyDescent="0.25"/>
    <row r="870" ht="20.100000000000001" customHeight="1" x14ac:dyDescent="0.25"/>
    <row r="871" ht="20.100000000000001" customHeight="1" x14ac:dyDescent="0.25"/>
    <row r="872" ht="20.100000000000001" customHeight="1" x14ac:dyDescent="0.25"/>
    <row r="873" ht="20.100000000000001" customHeight="1" x14ac:dyDescent="0.25"/>
    <row r="874" ht="20.100000000000001" customHeight="1" x14ac:dyDescent="0.25"/>
    <row r="875" ht="20.100000000000001" customHeight="1" x14ac:dyDescent="0.25"/>
    <row r="876" ht="20.100000000000001" customHeight="1" x14ac:dyDescent="0.25"/>
    <row r="877" ht="20.100000000000001" customHeight="1" x14ac:dyDescent="0.25"/>
    <row r="878" ht="20.100000000000001" customHeight="1" x14ac:dyDescent="0.25"/>
    <row r="879" ht="20.100000000000001" customHeight="1" x14ac:dyDescent="0.25"/>
    <row r="880" ht="20.100000000000001" customHeight="1" x14ac:dyDescent="0.25"/>
    <row r="881" ht="20.100000000000001" customHeight="1" x14ac:dyDescent="0.25"/>
    <row r="882" ht="20.100000000000001" customHeight="1" x14ac:dyDescent="0.25"/>
    <row r="883" ht="20.100000000000001" customHeight="1" x14ac:dyDescent="0.25"/>
    <row r="884" ht="20.100000000000001" customHeight="1" x14ac:dyDescent="0.25"/>
    <row r="885" ht="20.100000000000001" customHeight="1" x14ac:dyDescent="0.25"/>
    <row r="886" ht="20.100000000000001" customHeight="1" x14ac:dyDescent="0.25"/>
    <row r="887" ht="20.100000000000001" customHeight="1" x14ac:dyDescent="0.25"/>
    <row r="888" ht="20.100000000000001" customHeight="1" x14ac:dyDescent="0.25"/>
    <row r="889" ht="20.100000000000001" customHeight="1" x14ac:dyDescent="0.25"/>
    <row r="890" ht="20.100000000000001" customHeight="1" x14ac:dyDescent="0.25"/>
    <row r="891" ht="20.100000000000001" customHeight="1" x14ac:dyDescent="0.25"/>
    <row r="892" ht="20.100000000000001" customHeight="1" x14ac:dyDescent="0.25"/>
    <row r="893" ht="20.100000000000001" customHeight="1" x14ac:dyDescent="0.25"/>
    <row r="894" ht="20.100000000000001" customHeight="1" x14ac:dyDescent="0.25"/>
    <row r="895" ht="20.100000000000001" customHeight="1" x14ac:dyDescent="0.25"/>
    <row r="896" ht="20.100000000000001" customHeight="1" x14ac:dyDescent="0.25"/>
    <row r="897" ht="20.100000000000001" customHeight="1" x14ac:dyDescent="0.25"/>
    <row r="898" ht="20.100000000000001" customHeight="1" x14ac:dyDescent="0.25"/>
    <row r="899" ht="20.100000000000001" customHeight="1" x14ac:dyDescent="0.25"/>
    <row r="900" ht="20.100000000000001" customHeight="1" x14ac:dyDescent="0.25"/>
    <row r="901" ht="20.100000000000001" customHeight="1" x14ac:dyDescent="0.25"/>
    <row r="902" ht="20.100000000000001" customHeight="1" x14ac:dyDescent="0.25"/>
    <row r="903" ht="20.100000000000001" customHeight="1" x14ac:dyDescent="0.25"/>
    <row r="904" ht="20.100000000000001" customHeight="1" x14ac:dyDescent="0.25"/>
    <row r="905" ht="20.100000000000001" customHeight="1" x14ac:dyDescent="0.25"/>
    <row r="906" ht="20.100000000000001" customHeight="1" x14ac:dyDescent="0.25"/>
    <row r="907" ht="20.100000000000001" customHeight="1" x14ac:dyDescent="0.25"/>
    <row r="908" ht="20.100000000000001" customHeight="1" x14ac:dyDescent="0.25"/>
    <row r="909" ht="20.100000000000001" customHeight="1" x14ac:dyDescent="0.25"/>
    <row r="910" ht="20.100000000000001" customHeight="1" x14ac:dyDescent="0.25"/>
    <row r="911" ht="20.100000000000001" customHeight="1" x14ac:dyDescent="0.25"/>
    <row r="912" ht="20.100000000000001" customHeight="1" x14ac:dyDescent="0.25"/>
    <row r="913" ht="20.100000000000001" customHeight="1" x14ac:dyDescent="0.25"/>
    <row r="914" ht="20.100000000000001" customHeight="1" x14ac:dyDescent="0.25"/>
    <row r="915" ht="20.100000000000001" customHeight="1" x14ac:dyDescent="0.25"/>
    <row r="916" ht="20.100000000000001" customHeight="1" x14ac:dyDescent="0.25"/>
    <row r="917" ht="20.100000000000001" customHeight="1" x14ac:dyDescent="0.25"/>
    <row r="918" ht="20.100000000000001" customHeight="1" x14ac:dyDescent="0.25"/>
    <row r="919" ht="20.100000000000001" customHeight="1" x14ac:dyDescent="0.25"/>
    <row r="920" ht="20.100000000000001" customHeight="1" x14ac:dyDescent="0.25"/>
    <row r="921" ht="20.100000000000001" customHeight="1" x14ac:dyDescent="0.25"/>
    <row r="922" ht="20.100000000000001" customHeight="1" x14ac:dyDescent="0.25"/>
    <row r="923" ht="20.100000000000001" customHeight="1" x14ac:dyDescent="0.25"/>
    <row r="924" ht="20.100000000000001" customHeight="1" x14ac:dyDescent="0.25"/>
    <row r="925" ht="20.100000000000001" customHeight="1" x14ac:dyDescent="0.25"/>
    <row r="926" ht="20.100000000000001" customHeight="1" x14ac:dyDescent="0.25"/>
    <row r="927" ht="20.100000000000001" customHeight="1" x14ac:dyDescent="0.25"/>
    <row r="928" ht="20.100000000000001" customHeight="1" x14ac:dyDescent="0.25"/>
    <row r="929" ht="20.100000000000001" customHeight="1" x14ac:dyDescent="0.25"/>
    <row r="930" ht="20.100000000000001" customHeight="1" x14ac:dyDescent="0.25"/>
    <row r="931" ht="20.100000000000001" customHeight="1" x14ac:dyDescent="0.25"/>
    <row r="932" ht="20.100000000000001" customHeight="1" x14ac:dyDescent="0.25"/>
    <row r="933" ht="20.100000000000001" customHeight="1" x14ac:dyDescent="0.25"/>
    <row r="934" ht="20.100000000000001" customHeight="1" x14ac:dyDescent="0.25"/>
    <row r="935" ht="20.100000000000001" customHeight="1" x14ac:dyDescent="0.25"/>
    <row r="936" ht="20.100000000000001" customHeight="1" x14ac:dyDescent="0.25"/>
    <row r="937" ht="20.100000000000001" customHeight="1" x14ac:dyDescent="0.25"/>
    <row r="938" ht="20.100000000000001" customHeight="1" x14ac:dyDescent="0.25"/>
    <row r="939" ht="20.100000000000001" customHeight="1" x14ac:dyDescent="0.25"/>
    <row r="940" ht="20.100000000000001" customHeight="1" x14ac:dyDescent="0.25"/>
    <row r="941" ht="20.100000000000001" customHeight="1" x14ac:dyDescent="0.25"/>
    <row r="942" ht="20.100000000000001" customHeight="1" x14ac:dyDescent="0.25"/>
    <row r="943" ht="20.100000000000001" customHeight="1" x14ac:dyDescent="0.25"/>
    <row r="944" ht="20.100000000000001" customHeight="1" x14ac:dyDescent="0.25"/>
    <row r="945" ht="20.100000000000001" customHeight="1" x14ac:dyDescent="0.25"/>
    <row r="946" ht="20.100000000000001" customHeight="1" x14ac:dyDescent="0.25"/>
    <row r="947" ht="20.100000000000001" customHeight="1" x14ac:dyDescent="0.25"/>
    <row r="948" ht="20.100000000000001" customHeight="1" x14ac:dyDescent="0.25"/>
    <row r="949" ht="20.100000000000001" customHeight="1" x14ac:dyDescent="0.25"/>
    <row r="950" ht="20.100000000000001" customHeight="1" x14ac:dyDescent="0.25"/>
    <row r="951" ht="20.100000000000001" customHeight="1" x14ac:dyDescent="0.25"/>
    <row r="952" ht="20.100000000000001" customHeight="1" x14ac:dyDescent="0.25"/>
    <row r="953" ht="20.100000000000001" customHeight="1" x14ac:dyDescent="0.25"/>
    <row r="954" ht="20.100000000000001" customHeight="1" x14ac:dyDescent="0.25"/>
    <row r="955" ht="20.100000000000001" customHeight="1" x14ac:dyDescent="0.25"/>
    <row r="956" ht="20.100000000000001" customHeight="1" x14ac:dyDescent="0.25"/>
    <row r="957" ht="20.100000000000001" customHeight="1" x14ac:dyDescent="0.25"/>
    <row r="958" ht="20.100000000000001" customHeight="1" x14ac:dyDescent="0.25"/>
    <row r="959" ht="20.100000000000001" customHeight="1" x14ac:dyDescent="0.25"/>
    <row r="960" ht="20.100000000000001" customHeight="1" x14ac:dyDescent="0.25"/>
    <row r="961" ht="20.100000000000001" customHeight="1" x14ac:dyDescent="0.25"/>
    <row r="962" ht="20.100000000000001" customHeight="1" x14ac:dyDescent="0.25"/>
    <row r="963" ht="20.100000000000001" customHeight="1" x14ac:dyDescent="0.25"/>
    <row r="964" ht="20.100000000000001" customHeight="1" x14ac:dyDescent="0.25"/>
    <row r="965" ht="20.100000000000001" customHeight="1" x14ac:dyDescent="0.25"/>
    <row r="966" ht="20.100000000000001" customHeight="1" x14ac:dyDescent="0.25"/>
    <row r="967" ht="20.100000000000001" customHeight="1" x14ac:dyDescent="0.25"/>
    <row r="968" ht="20.100000000000001" customHeight="1" x14ac:dyDescent="0.25"/>
    <row r="969" ht="20.100000000000001" customHeight="1" x14ac:dyDescent="0.25"/>
    <row r="970" ht="20.100000000000001" customHeight="1" x14ac:dyDescent="0.25"/>
    <row r="971" ht="20.100000000000001" customHeight="1" x14ac:dyDescent="0.25"/>
    <row r="972" ht="20.100000000000001" customHeight="1" x14ac:dyDescent="0.25"/>
    <row r="973" ht="20.100000000000001" customHeight="1" x14ac:dyDescent="0.25"/>
    <row r="974" ht="20.100000000000001" customHeight="1" x14ac:dyDescent="0.25"/>
    <row r="975" ht="20.100000000000001" customHeight="1" x14ac:dyDescent="0.25"/>
    <row r="976" ht="20.100000000000001" customHeight="1" x14ac:dyDescent="0.25"/>
    <row r="977" ht="20.100000000000001" customHeight="1" x14ac:dyDescent="0.25"/>
    <row r="978" ht="20.100000000000001" customHeight="1" x14ac:dyDescent="0.25"/>
    <row r="979" ht="20.100000000000001" customHeight="1" x14ac:dyDescent="0.25"/>
    <row r="980" ht="20.100000000000001" customHeight="1" x14ac:dyDescent="0.25"/>
    <row r="981" ht="20.100000000000001" customHeight="1" x14ac:dyDescent="0.25"/>
    <row r="982" ht="20.100000000000001" customHeight="1" x14ac:dyDescent="0.25"/>
    <row r="983" ht="20.100000000000001" customHeight="1" x14ac:dyDescent="0.25"/>
    <row r="984" ht="20.100000000000001" customHeight="1" x14ac:dyDescent="0.25"/>
    <row r="985" ht="20.100000000000001" customHeight="1" x14ac:dyDescent="0.25"/>
    <row r="986" ht="20.100000000000001" customHeight="1" x14ac:dyDescent="0.25"/>
    <row r="987" ht="20.100000000000001" customHeight="1" x14ac:dyDescent="0.25"/>
    <row r="988" ht="20.100000000000001" customHeight="1" x14ac:dyDescent="0.25"/>
    <row r="989" ht="20.100000000000001" customHeight="1" x14ac:dyDescent="0.25"/>
    <row r="990" ht="20.100000000000001" customHeight="1" x14ac:dyDescent="0.25"/>
    <row r="991" ht="20.100000000000001" customHeight="1" x14ac:dyDescent="0.25"/>
    <row r="992" ht="20.100000000000001" customHeight="1" x14ac:dyDescent="0.25"/>
    <row r="993" ht="20.100000000000001" customHeight="1" x14ac:dyDescent="0.25"/>
    <row r="994" ht="20.100000000000001" customHeight="1" x14ac:dyDescent="0.25"/>
    <row r="995" ht="20.100000000000001" customHeight="1" x14ac:dyDescent="0.25"/>
    <row r="996" ht="20.100000000000001" customHeight="1" x14ac:dyDescent="0.25"/>
    <row r="997" ht="20.100000000000001" customHeight="1" x14ac:dyDescent="0.25"/>
    <row r="998" ht="20.100000000000001" customHeight="1" x14ac:dyDescent="0.25"/>
    <row r="999" ht="20.100000000000001" customHeight="1" x14ac:dyDescent="0.25"/>
    <row r="1000" ht="20.100000000000001" customHeight="1" x14ac:dyDescent="0.25"/>
    <row r="1001" ht="20.100000000000001" customHeight="1" x14ac:dyDescent="0.25"/>
    <row r="1002" ht="20.100000000000001" customHeight="1" x14ac:dyDescent="0.25"/>
    <row r="1003" ht="20.100000000000001" customHeight="1" x14ac:dyDescent="0.25"/>
    <row r="1004" ht="20.100000000000001" customHeight="1" x14ac:dyDescent="0.25"/>
    <row r="1005" ht="20.100000000000001" customHeight="1" x14ac:dyDescent="0.25"/>
    <row r="1006" ht="20.100000000000001" customHeight="1" x14ac:dyDescent="0.25"/>
    <row r="1007" ht="20.100000000000001" customHeight="1" x14ac:dyDescent="0.25"/>
    <row r="1008" ht="20.100000000000001" customHeight="1" x14ac:dyDescent="0.25"/>
    <row r="1009" ht="20.100000000000001" customHeight="1" x14ac:dyDescent="0.25"/>
    <row r="1010" ht="20.100000000000001" customHeight="1" x14ac:dyDescent="0.25"/>
    <row r="1011" ht="20.100000000000001" customHeight="1" x14ac:dyDescent="0.25"/>
    <row r="1012" ht="20.100000000000001" customHeight="1" x14ac:dyDescent="0.25"/>
    <row r="1013" ht="20.100000000000001" customHeight="1" x14ac:dyDescent="0.25"/>
    <row r="1014" ht="20.100000000000001" customHeight="1" x14ac:dyDescent="0.25"/>
    <row r="1015" ht="20.100000000000001" customHeight="1" x14ac:dyDescent="0.25"/>
    <row r="1016" ht="20.100000000000001" customHeight="1" x14ac:dyDescent="0.25"/>
    <row r="1017" ht="20.100000000000001" customHeight="1" x14ac:dyDescent="0.25"/>
    <row r="1018" ht="20.100000000000001" customHeight="1" x14ac:dyDescent="0.25"/>
    <row r="1019" ht="20.100000000000001" customHeight="1" x14ac:dyDescent="0.25"/>
    <row r="1020" ht="20.100000000000001" customHeight="1" x14ac:dyDescent="0.25"/>
    <row r="1021" ht="20.100000000000001" customHeight="1" x14ac:dyDescent="0.25"/>
    <row r="1022" ht="20.100000000000001" customHeight="1" x14ac:dyDescent="0.25"/>
    <row r="1023" ht="20.100000000000001" customHeight="1" x14ac:dyDescent="0.25"/>
    <row r="1024" ht="20.100000000000001" customHeight="1" x14ac:dyDescent="0.25"/>
    <row r="1025" ht="20.100000000000001" customHeight="1" x14ac:dyDescent="0.25"/>
    <row r="1026" ht="20.100000000000001" customHeight="1" x14ac:dyDescent="0.25"/>
    <row r="1027" ht="20.100000000000001" customHeight="1" x14ac:dyDescent="0.25"/>
    <row r="1028" ht="20.100000000000001" customHeight="1" x14ac:dyDescent="0.25"/>
    <row r="1029" ht="20.100000000000001" customHeight="1" x14ac:dyDescent="0.25"/>
    <row r="1030" ht="20.100000000000001" customHeight="1" x14ac:dyDescent="0.25"/>
    <row r="1031" ht="20.100000000000001" customHeight="1" x14ac:dyDescent="0.25"/>
    <row r="1032" ht="20.100000000000001" customHeight="1" x14ac:dyDescent="0.25"/>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F3656-AD8D-4119-8E53-C515CAB433FE}">
  <dimension ref="B1:AR35"/>
  <sheetViews>
    <sheetView workbookViewId="0">
      <selection activeCell="B27" sqref="B27"/>
    </sheetView>
  </sheetViews>
  <sheetFormatPr defaultRowHeight="15" x14ac:dyDescent="0.25"/>
  <cols>
    <col min="2" max="2" width="13.140625" bestFit="1" customWidth="1"/>
    <col min="3" max="4" width="15.42578125" bestFit="1" customWidth="1"/>
    <col min="7" max="7" width="13.140625" bestFit="1" customWidth="1"/>
    <col min="8" max="8" width="15.42578125" bestFit="1" customWidth="1"/>
    <col min="12" max="14" width="19" bestFit="1" customWidth="1"/>
    <col min="17" max="17" width="13.140625" bestFit="1" customWidth="1"/>
    <col min="18" max="18" width="18" bestFit="1" customWidth="1"/>
    <col min="23" max="23" width="29" bestFit="1" customWidth="1"/>
    <col min="24" max="24" width="10.42578125" bestFit="1" customWidth="1"/>
    <col min="29" max="29" width="13.140625" bestFit="1" customWidth="1"/>
    <col min="30" max="31" width="15.42578125" bestFit="1" customWidth="1"/>
    <col min="35" max="35" width="13.140625" bestFit="1" customWidth="1"/>
    <col min="36" max="36" width="13.5703125" bestFit="1" customWidth="1"/>
    <col min="41" max="41" width="13.140625" bestFit="1" customWidth="1"/>
    <col min="42" max="42" width="17.28515625" bestFit="1" customWidth="1"/>
  </cols>
  <sheetData>
    <row r="1" spans="2:44" ht="15" customHeight="1" x14ac:dyDescent="0.25">
      <c r="B1" s="87" t="s">
        <v>361</v>
      </c>
      <c r="C1" s="87"/>
      <c r="D1" s="87"/>
      <c r="E1" s="77"/>
      <c r="G1" s="86" t="s">
        <v>363</v>
      </c>
      <c r="H1" s="86"/>
      <c r="I1" s="86"/>
      <c r="J1" s="86"/>
      <c r="L1" s="86" t="s">
        <v>367</v>
      </c>
      <c r="M1" s="86"/>
      <c r="N1" s="86"/>
      <c r="O1" s="86"/>
      <c r="Q1" s="86" t="s">
        <v>369</v>
      </c>
      <c r="R1" s="86"/>
      <c r="S1" s="86"/>
      <c r="T1" s="86"/>
      <c r="U1" s="86"/>
      <c r="W1" s="88" t="s">
        <v>380</v>
      </c>
      <c r="X1" s="88"/>
      <c r="Y1" s="88"/>
      <c r="Z1" s="88"/>
      <c r="AA1" s="88"/>
      <c r="AC1" s="88" t="s">
        <v>382</v>
      </c>
      <c r="AD1" s="88"/>
      <c r="AE1" s="88"/>
      <c r="AF1" s="88"/>
      <c r="AG1" s="88"/>
      <c r="AI1" s="84" t="s">
        <v>383</v>
      </c>
      <c r="AJ1" s="84"/>
      <c r="AK1" s="84"/>
      <c r="AL1" s="84"/>
      <c r="AM1" s="84"/>
      <c r="AO1" s="85" t="s">
        <v>391</v>
      </c>
      <c r="AP1" s="85"/>
      <c r="AQ1" s="85"/>
      <c r="AR1" s="85"/>
    </row>
    <row r="2" spans="2:44" ht="15" customHeight="1" x14ac:dyDescent="0.25">
      <c r="B2" s="87"/>
      <c r="C2" s="87"/>
      <c r="D2" s="87"/>
      <c r="E2" s="77"/>
      <c r="G2" s="86"/>
      <c r="H2" s="86"/>
      <c r="I2" s="86"/>
      <c r="J2" s="86"/>
      <c r="L2" s="86"/>
      <c r="M2" s="86"/>
      <c r="N2" s="86"/>
      <c r="O2" s="86"/>
      <c r="Q2" s="86"/>
      <c r="R2" s="86"/>
      <c r="S2" s="86"/>
      <c r="T2" s="86"/>
      <c r="U2" s="86"/>
      <c r="W2" s="88"/>
      <c r="X2" s="88"/>
      <c r="Y2" s="88"/>
      <c r="Z2" s="88"/>
      <c r="AA2" s="88"/>
      <c r="AC2" s="88"/>
      <c r="AD2" s="88"/>
      <c r="AE2" s="88"/>
      <c r="AF2" s="88"/>
      <c r="AG2" s="88"/>
      <c r="AI2" s="84"/>
      <c r="AJ2" s="84"/>
      <c r="AK2" s="84"/>
      <c r="AL2" s="84"/>
      <c r="AM2" s="84"/>
      <c r="AO2" s="85"/>
      <c r="AP2" s="85"/>
      <c r="AQ2" s="85"/>
      <c r="AR2" s="85"/>
    </row>
    <row r="3" spans="2:44" x14ac:dyDescent="0.25">
      <c r="E3" s="77"/>
      <c r="G3" s="79" t="s">
        <v>364</v>
      </c>
      <c r="H3" t="s">
        <v>366</v>
      </c>
      <c r="J3" s="77"/>
      <c r="O3" s="77"/>
      <c r="U3" s="77"/>
      <c r="AA3" s="83"/>
      <c r="AG3" s="83"/>
      <c r="AM3" s="83"/>
      <c r="AR3" s="83"/>
    </row>
    <row r="4" spans="2:44" x14ac:dyDescent="0.25">
      <c r="C4" t="s">
        <v>362</v>
      </c>
      <c r="E4" s="77"/>
      <c r="G4" s="80" t="s">
        <v>392</v>
      </c>
      <c r="H4" s="78">
        <v>4</v>
      </c>
      <c r="J4" s="77"/>
      <c r="M4" t="s">
        <v>368</v>
      </c>
      <c r="O4" s="77"/>
      <c r="Q4" s="79" t="s">
        <v>364</v>
      </c>
      <c r="R4" t="s">
        <v>366</v>
      </c>
      <c r="U4" s="77"/>
      <c r="W4" t="s">
        <v>374</v>
      </c>
      <c r="AA4" s="83"/>
      <c r="AC4" s="79" t="s">
        <v>364</v>
      </c>
      <c r="AD4" t="s">
        <v>362</v>
      </c>
      <c r="AG4" s="83"/>
      <c r="AI4" s="79" t="s">
        <v>364</v>
      </c>
      <c r="AJ4" t="s">
        <v>381</v>
      </c>
      <c r="AM4" s="83"/>
      <c r="AO4" s="79" t="s">
        <v>364</v>
      </c>
      <c r="AP4" t="s">
        <v>390</v>
      </c>
      <c r="AR4" s="83"/>
    </row>
    <row r="5" spans="2:44" x14ac:dyDescent="0.25">
      <c r="C5" s="78">
        <v>26198.91</v>
      </c>
      <c r="E5" s="77"/>
      <c r="G5" s="80" t="s">
        <v>365</v>
      </c>
      <c r="H5" s="78">
        <v>4</v>
      </c>
      <c r="J5" s="77"/>
      <c r="M5" s="78">
        <v>6549.7275</v>
      </c>
      <c r="O5" s="77"/>
      <c r="Q5" s="80" t="s">
        <v>392</v>
      </c>
      <c r="R5" s="78">
        <v>4</v>
      </c>
      <c r="U5" s="77"/>
      <c r="W5" s="78">
        <v>9.75</v>
      </c>
      <c r="AA5" s="83"/>
      <c r="AC5" s="80" t="s">
        <v>385</v>
      </c>
      <c r="AD5" s="78">
        <v>26198.91</v>
      </c>
      <c r="AG5" s="83"/>
      <c r="AI5" s="80" t="s">
        <v>236</v>
      </c>
      <c r="AJ5" s="78">
        <v>1</v>
      </c>
      <c r="AM5" s="83"/>
      <c r="AO5" s="80" t="s">
        <v>378</v>
      </c>
      <c r="AP5" s="78">
        <v>2</v>
      </c>
      <c r="AR5" s="83"/>
    </row>
    <row r="6" spans="2:44" x14ac:dyDescent="0.25">
      <c r="E6" s="77"/>
      <c r="J6" s="77"/>
      <c r="O6" s="77"/>
      <c r="Q6" s="80" t="s">
        <v>365</v>
      </c>
      <c r="R6" s="78">
        <v>4</v>
      </c>
      <c r="U6" s="77"/>
      <c r="AA6" s="83"/>
      <c r="AC6" s="80" t="s">
        <v>365</v>
      </c>
      <c r="AD6" s="78">
        <v>26198.91</v>
      </c>
      <c r="AG6" s="83"/>
      <c r="AI6" s="80" t="s">
        <v>191</v>
      </c>
      <c r="AJ6" s="78">
        <v>3</v>
      </c>
      <c r="AM6" s="83"/>
      <c r="AO6" s="80" t="s">
        <v>379</v>
      </c>
      <c r="AP6" s="78">
        <v>2</v>
      </c>
      <c r="AR6" s="83"/>
    </row>
    <row r="7" spans="2:44" x14ac:dyDescent="0.25">
      <c r="C7" s="82">
        <f>GETPIVOTDATA("سعر البيع ",$C$4)</f>
        <v>26198.91</v>
      </c>
      <c r="E7" s="77"/>
      <c r="J7" s="77"/>
      <c r="M7" s="82">
        <f>GETPIVOTDATA("سعر البيع ",$M$4)</f>
        <v>6549.7275</v>
      </c>
      <c r="O7" s="77"/>
      <c r="U7" s="77"/>
      <c r="W7" t="s">
        <v>376</v>
      </c>
      <c r="X7" t="s">
        <v>375</v>
      </c>
      <c r="AA7" s="83"/>
      <c r="AG7" s="83"/>
      <c r="AI7" s="80" t="s">
        <v>365</v>
      </c>
      <c r="AJ7" s="78">
        <v>4</v>
      </c>
      <c r="AM7" s="83"/>
      <c r="AO7" s="80" t="s">
        <v>365</v>
      </c>
      <c r="AP7" s="78">
        <v>4</v>
      </c>
      <c r="AR7" s="83"/>
    </row>
    <row r="8" spans="2:44" x14ac:dyDescent="0.25">
      <c r="J8" s="77"/>
      <c r="M8" s="81"/>
      <c r="O8" s="77"/>
      <c r="U8" s="77"/>
      <c r="W8">
        <v>16</v>
      </c>
      <c r="X8">
        <v>6</v>
      </c>
      <c r="AA8" s="83"/>
      <c r="AG8" s="83"/>
      <c r="AM8" s="83"/>
      <c r="AR8" s="83"/>
    </row>
    <row r="9" spans="2:44" x14ac:dyDescent="0.25">
      <c r="J9" s="77"/>
      <c r="O9" s="77"/>
      <c r="U9" s="77"/>
      <c r="AA9" s="83"/>
      <c r="AG9" s="83"/>
      <c r="AM9" s="83"/>
      <c r="AR9" s="83"/>
    </row>
    <row r="10" spans="2:44" x14ac:dyDescent="0.25">
      <c r="B10" s="86" t="s">
        <v>370</v>
      </c>
      <c r="C10" s="86"/>
      <c r="D10" s="86"/>
      <c r="E10" s="86"/>
      <c r="J10" s="77"/>
      <c r="O10" s="77"/>
      <c r="U10" s="77"/>
      <c r="AA10" s="83"/>
      <c r="AG10" s="83"/>
      <c r="AM10" s="83"/>
      <c r="AR10" s="83"/>
    </row>
    <row r="11" spans="2:44" x14ac:dyDescent="0.25">
      <c r="B11" s="86"/>
      <c r="C11" s="86"/>
      <c r="D11" s="86"/>
      <c r="E11" s="86"/>
      <c r="J11" s="77"/>
    </row>
    <row r="12" spans="2:44" x14ac:dyDescent="0.25">
      <c r="E12" s="77"/>
      <c r="J12" s="77"/>
    </row>
    <row r="13" spans="2:44" x14ac:dyDescent="0.25">
      <c r="E13" s="77"/>
      <c r="J13" s="77"/>
    </row>
    <row r="14" spans="2:44" x14ac:dyDescent="0.25">
      <c r="B14" s="79" t="s">
        <v>364</v>
      </c>
      <c r="C14" t="s">
        <v>362</v>
      </c>
      <c r="E14" s="77"/>
      <c r="J14" s="77"/>
      <c r="AG14" s="83"/>
    </row>
    <row r="15" spans="2:44" x14ac:dyDescent="0.25">
      <c r="B15" s="80" t="s">
        <v>150</v>
      </c>
      <c r="C15" s="78">
        <v>26198.91</v>
      </c>
      <c r="E15" s="77"/>
      <c r="J15" s="77"/>
    </row>
    <row r="16" spans="2:44" x14ac:dyDescent="0.25">
      <c r="B16" s="80" t="s">
        <v>365</v>
      </c>
      <c r="C16" s="78">
        <v>26198.91</v>
      </c>
      <c r="E16" s="77"/>
    </row>
    <row r="17" spans="5:10" x14ac:dyDescent="0.25">
      <c r="E17" s="77"/>
      <c r="H17">
        <f>GETPIVOTDATA("منصة البيع ",$G$3)</f>
        <v>4</v>
      </c>
    </row>
    <row r="18" spans="5:10" x14ac:dyDescent="0.25">
      <c r="E18" s="77"/>
    </row>
    <row r="19" spans="5:10" x14ac:dyDescent="0.25">
      <c r="E19" s="77"/>
      <c r="G19" s="86" t="s">
        <v>371</v>
      </c>
      <c r="H19" s="86"/>
      <c r="I19" s="86"/>
      <c r="J19" s="86"/>
    </row>
    <row r="20" spans="5:10" x14ac:dyDescent="0.25">
      <c r="E20" s="77"/>
      <c r="G20" s="86"/>
      <c r="H20" s="86"/>
      <c r="I20" s="86"/>
      <c r="J20" s="86"/>
    </row>
    <row r="21" spans="5:10" x14ac:dyDescent="0.25">
      <c r="E21" s="77"/>
      <c r="J21" s="77"/>
    </row>
    <row r="22" spans="5:10" x14ac:dyDescent="0.25">
      <c r="E22" s="77"/>
      <c r="G22" s="79" t="s">
        <v>364</v>
      </c>
      <c r="H22" t="s">
        <v>362</v>
      </c>
      <c r="J22" s="77"/>
    </row>
    <row r="23" spans="5:10" x14ac:dyDescent="0.25">
      <c r="E23" s="77"/>
      <c r="G23" s="80" t="s">
        <v>168</v>
      </c>
      <c r="H23" s="78">
        <v>17654</v>
      </c>
      <c r="J23" s="77"/>
    </row>
    <row r="24" spans="5:10" x14ac:dyDescent="0.25">
      <c r="E24" s="77"/>
      <c r="G24" s="80" t="s">
        <v>214</v>
      </c>
      <c r="H24" s="78">
        <v>8544.91</v>
      </c>
      <c r="J24" s="77"/>
    </row>
    <row r="25" spans="5:10" x14ac:dyDescent="0.25">
      <c r="E25" s="77"/>
      <c r="G25" s="80" t="s">
        <v>365</v>
      </c>
      <c r="H25" s="78">
        <v>26198.91</v>
      </c>
      <c r="J25" s="77"/>
    </row>
    <row r="26" spans="5:10" x14ac:dyDescent="0.25">
      <c r="E26" s="77"/>
      <c r="J26" s="77"/>
    </row>
    <row r="27" spans="5:10" x14ac:dyDescent="0.25">
      <c r="E27" s="77"/>
      <c r="J27" s="77"/>
    </row>
    <row r="28" spans="5:10" x14ac:dyDescent="0.25">
      <c r="E28" s="77"/>
      <c r="J28" s="77"/>
    </row>
    <row r="29" spans="5:10" x14ac:dyDescent="0.25">
      <c r="E29" s="77"/>
      <c r="J29" s="77"/>
    </row>
    <row r="30" spans="5:10" x14ac:dyDescent="0.25">
      <c r="E30" s="77"/>
      <c r="J30" s="77"/>
    </row>
    <row r="31" spans="5:10" x14ac:dyDescent="0.25">
      <c r="E31" s="77"/>
      <c r="J31" s="77"/>
    </row>
    <row r="32" spans="5:10" x14ac:dyDescent="0.25">
      <c r="E32" s="77"/>
    </row>
    <row r="33" spans="5:5" x14ac:dyDescent="0.25">
      <c r="E33" s="77"/>
    </row>
    <row r="34" spans="5:5" x14ac:dyDescent="0.25">
      <c r="E34" s="77"/>
    </row>
    <row r="35" spans="5:5" x14ac:dyDescent="0.25">
      <c r="E35" s="77"/>
    </row>
  </sheetData>
  <mergeCells count="10">
    <mergeCell ref="AI1:AM2"/>
    <mergeCell ref="AO1:AR2"/>
    <mergeCell ref="Q1:U2"/>
    <mergeCell ref="B10:E11"/>
    <mergeCell ref="G19:J20"/>
    <mergeCell ref="B1:D2"/>
    <mergeCell ref="G1:J2"/>
    <mergeCell ref="L1:O2"/>
    <mergeCell ref="W1:AA2"/>
    <mergeCell ref="AC1:AG2"/>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2B940-2B93-41A9-B7AC-DA424F9A7719}">
  <dimension ref="A1"/>
  <sheetViews>
    <sheetView showGridLines="0" tabSelected="1" zoomScaleNormal="100" workbookViewId="0">
      <selection activeCell="U7" sqref="U7"/>
    </sheetView>
  </sheetViews>
  <sheetFormatPr defaultRowHeight="15" x14ac:dyDescent="0.25"/>
  <cols>
    <col min="1" max="8" width="9.140625" style="83"/>
    <col min="9" max="9" width="9.140625" style="83" customWidth="1"/>
    <col min="10" max="16384" width="9.140625" style="83"/>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6DBADB-9A6C-45C7-B0FB-868AEC5B95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البيانات</vt:lpstr>
      <vt:lpstr>cleaning</vt:lpstr>
      <vt:lpstr>paviot table </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a24092</cp:lastModifiedBy>
  <dcterms:created xsi:type="dcterms:W3CDTF">2015-06-05T18:17:20Z</dcterms:created>
  <dcterms:modified xsi:type="dcterms:W3CDTF">2026-04-11T22:40:41Z</dcterms:modified>
</cp:coreProperties>
</file>